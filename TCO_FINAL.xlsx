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PROJETS\2024\24060 - RNA - BMA - FABRIQA - Externat Lycée G. EIFFEL BDX\Etudes\6-ACT\Offres de base\4.3 Offres\LOT 01 GO\"/>
    </mc:Choice>
  </mc:AlternateContent>
  <xr:revisionPtr revIDLastSave="0" documentId="13_ncr:1_{3DAAFCF1-D719-44A0-A9FE-7706359276C3}" xr6:coauthVersionLast="47" xr6:coauthVersionMax="47" xr10:uidLastSave="{00000000-0000-0000-0000-000000000000}"/>
  <bookViews>
    <workbookView xWindow="71880" yWindow="-120" windowWidth="29040" windowHeight="16440" xr2:uid="{00000000-000D-0000-FFFF-FFFF00000000}"/>
  </bookViews>
  <sheets>
    <sheet name="Feuil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37" i="1" l="1"/>
  <c r="R137" i="1"/>
  <c r="W128" i="1"/>
  <c r="R128" i="1"/>
  <c r="M128" i="1"/>
  <c r="F128" i="1"/>
  <c r="W127" i="1"/>
  <c r="W121" i="1" s="1"/>
  <c r="W129" i="1" s="1"/>
  <c r="R127" i="1"/>
  <c r="M127" i="1"/>
  <c r="F127" i="1"/>
  <c r="W126" i="1"/>
  <c r="R126" i="1"/>
  <c r="M126" i="1"/>
  <c r="F126" i="1"/>
  <c r="W125" i="1"/>
  <c r="R125" i="1"/>
  <c r="M125" i="1"/>
  <c r="F125" i="1"/>
  <c r="W124" i="1"/>
  <c r="R124" i="1"/>
  <c r="R123" i="1" s="1"/>
  <c r="M124" i="1"/>
  <c r="M123" i="1" s="1"/>
  <c r="F124" i="1"/>
  <c r="F123" i="1" s="1"/>
  <c r="W123" i="1"/>
  <c r="W122" i="1"/>
  <c r="R122" i="1"/>
  <c r="M122" i="1"/>
  <c r="F122" i="1"/>
  <c r="W119" i="1"/>
  <c r="W118" i="1" s="1"/>
  <c r="W116" i="1" s="1"/>
  <c r="W120" i="1" s="1"/>
  <c r="R119" i="1"/>
  <c r="R118" i="1" s="1"/>
  <c r="M119" i="1"/>
  <c r="F119" i="1"/>
  <c r="F118" i="1" s="1"/>
  <c r="M118" i="1"/>
  <c r="W117" i="1"/>
  <c r="R117" i="1"/>
  <c r="M117" i="1"/>
  <c r="F117" i="1"/>
  <c r="F116" i="1" s="1"/>
  <c r="F120" i="1" s="1"/>
  <c r="M116" i="1"/>
  <c r="M120" i="1" s="1"/>
  <c r="W114" i="1"/>
  <c r="R114" i="1"/>
  <c r="M114" i="1"/>
  <c r="M112" i="1" s="1"/>
  <c r="F114" i="1"/>
  <c r="W113" i="1"/>
  <c r="R113" i="1"/>
  <c r="R112" i="1" s="1"/>
  <c r="M113" i="1"/>
  <c r="F113" i="1"/>
  <c r="F112" i="1" s="1"/>
  <c r="W112" i="1"/>
  <c r="M111" i="1"/>
  <c r="W110" i="1"/>
  <c r="R110" i="1"/>
  <c r="M110" i="1"/>
  <c r="F110" i="1"/>
  <c r="W109" i="1"/>
  <c r="R109" i="1"/>
  <c r="M109" i="1"/>
  <c r="F109" i="1"/>
  <c r="W108" i="1"/>
  <c r="W107" i="1" s="1"/>
  <c r="W111" i="1" s="1"/>
  <c r="R108" i="1"/>
  <c r="R107" i="1" s="1"/>
  <c r="R111" i="1" s="1"/>
  <c r="M108" i="1"/>
  <c r="F108" i="1"/>
  <c r="F107" i="1" s="1"/>
  <c r="F111" i="1" s="1"/>
  <c r="M107" i="1"/>
  <c r="W105" i="1"/>
  <c r="W103" i="1" s="1"/>
  <c r="W106" i="1" s="1"/>
  <c r="R105" i="1"/>
  <c r="M105" i="1"/>
  <c r="W104" i="1"/>
  <c r="R104" i="1"/>
  <c r="M104" i="1"/>
  <c r="M103" i="1" s="1"/>
  <c r="M106" i="1" s="1"/>
  <c r="R103" i="1"/>
  <c r="R106" i="1" s="1"/>
  <c r="F103" i="1"/>
  <c r="F106" i="1" s="1"/>
  <c r="W102" i="1"/>
  <c r="W101" i="1"/>
  <c r="R101" i="1"/>
  <c r="M101" i="1"/>
  <c r="F101" i="1"/>
  <c r="W100" i="1"/>
  <c r="R100" i="1"/>
  <c r="R99" i="1" s="1"/>
  <c r="R102" i="1" s="1"/>
  <c r="M100" i="1"/>
  <c r="F100" i="1"/>
  <c r="F99" i="1" s="1"/>
  <c r="F102" i="1" s="1"/>
  <c r="W99" i="1"/>
  <c r="M99" i="1"/>
  <c r="M102" i="1" s="1"/>
  <c r="W98" i="1"/>
  <c r="W97" i="1"/>
  <c r="R97" i="1"/>
  <c r="M97" i="1"/>
  <c r="F97" i="1"/>
  <c r="W96" i="1"/>
  <c r="R96" i="1"/>
  <c r="M96" i="1"/>
  <c r="F96" i="1"/>
  <c r="W95" i="1"/>
  <c r="R95" i="1"/>
  <c r="M95" i="1"/>
  <c r="F95" i="1"/>
  <c r="F93" i="1" s="1"/>
  <c r="W94" i="1"/>
  <c r="R94" i="1"/>
  <c r="R93" i="1" s="1"/>
  <c r="M94" i="1"/>
  <c r="M93" i="1" s="1"/>
  <c r="F94" i="1"/>
  <c r="W93" i="1"/>
  <c r="W91" i="1"/>
  <c r="R91" i="1"/>
  <c r="M91" i="1"/>
  <c r="F91" i="1"/>
  <c r="W88" i="1"/>
  <c r="R88" i="1"/>
  <c r="M88" i="1"/>
  <c r="F88" i="1"/>
  <c r="W87" i="1"/>
  <c r="W86" i="1" s="1"/>
  <c r="R87" i="1"/>
  <c r="M87" i="1"/>
  <c r="F87" i="1"/>
  <c r="R86" i="1"/>
  <c r="M86" i="1"/>
  <c r="M84" i="1" s="1"/>
  <c r="M89" i="1" s="1"/>
  <c r="F86" i="1"/>
  <c r="W85" i="1"/>
  <c r="R85" i="1"/>
  <c r="R84" i="1" s="1"/>
  <c r="R89" i="1" s="1"/>
  <c r="M85" i="1"/>
  <c r="F85" i="1"/>
  <c r="W82" i="1"/>
  <c r="W81" i="1" s="1"/>
  <c r="R82" i="1"/>
  <c r="M82" i="1"/>
  <c r="M81" i="1" s="1"/>
  <c r="F82" i="1"/>
  <c r="R81" i="1"/>
  <c r="F81" i="1"/>
  <c r="W80" i="1"/>
  <c r="W79" i="1" s="1"/>
  <c r="W83" i="1" s="1"/>
  <c r="R80" i="1"/>
  <c r="R79" i="1" s="1"/>
  <c r="R83" i="1" s="1"/>
  <c r="M80" i="1"/>
  <c r="M79" i="1" s="1"/>
  <c r="M83" i="1" s="1"/>
  <c r="F80" i="1"/>
  <c r="F79" i="1" s="1"/>
  <c r="F83" i="1" s="1"/>
  <c r="W76" i="1"/>
  <c r="W75" i="1" s="1"/>
  <c r="W77" i="1" s="1"/>
  <c r="R76" i="1"/>
  <c r="M76" i="1"/>
  <c r="F76" i="1"/>
  <c r="R75" i="1"/>
  <c r="R77" i="1" s="1"/>
  <c r="M75" i="1"/>
  <c r="M77" i="1" s="1"/>
  <c r="F75" i="1"/>
  <c r="F77" i="1" s="1"/>
  <c r="W74" i="1"/>
  <c r="W73" i="1"/>
  <c r="R73" i="1"/>
  <c r="M73" i="1"/>
  <c r="F73" i="1"/>
  <c r="F71" i="1" s="1"/>
  <c r="F74" i="1" s="1"/>
  <c r="W72" i="1"/>
  <c r="R72" i="1"/>
  <c r="R71" i="1" s="1"/>
  <c r="R74" i="1" s="1"/>
  <c r="M72" i="1"/>
  <c r="M71" i="1" s="1"/>
  <c r="M74" i="1" s="1"/>
  <c r="F72" i="1"/>
  <c r="W71" i="1"/>
  <c r="W69" i="1"/>
  <c r="W66" i="1" s="1"/>
  <c r="R69" i="1"/>
  <c r="M69" i="1"/>
  <c r="M66" i="1" s="1"/>
  <c r="F69" i="1"/>
  <c r="W68" i="1"/>
  <c r="R68" i="1"/>
  <c r="M68" i="1"/>
  <c r="F68" i="1"/>
  <c r="W67" i="1"/>
  <c r="R67" i="1"/>
  <c r="R66" i="1" s="1"/>
  <c r="M67" i="1"/>
  <c r="F67" i="1"/>
  <c r="F66" i="1" s="1"/>
  <c r="M64" i="1"/>
  <c r="W63" i="1"/>
  <c r="W62" i="1" s="1"/>
  <c r="R63" i="1"/>
  <c r="R62" i="1" s="1"/>
  <c r="M63" i="1"/>
  <c r="F63" i="1"/>
  <c r="F62" i="1" s="1"/>
  <c r="M62" i="1"/>
  <c r="M61" i="1"/>
  <c r="W60" i="1"/>
  <c r="R60" i="1"/>
  <c r="M60" i="1"/>
  <c r="F60" i="1"/>
  <c r="W57" i="1"/>
  <c r="R57" i="1"/>
  <c r="R56" i="1" s="1"/>
  <c r="M57" i="1"/>
  <c r="F57" i="1"/>
  <c r="W56" i="1"/>
  <c r="M56" i="1"/>
  <c r="F56" i="1"/>
  <c r="W54" i="1"/>
  <c r="R54" i="1"/>
  <c r="M54" i="1"/>
  <c r="F54" i="1"/>
  <c r="W53" i="1"/>
  <c r="R53" i="1"/>
  <c r="M53" i="1"/>
  <c r="M52" i="1" s="1"/>
  <c r="M55" i="1" s="1"/>
  <c r="F53" i="1"/>
  <c r="F52" i="1" s="1"/>
  <c r="F55" i="1" s="1"/>
  <c r="W52" i="1"/>
  <c r="W55" i="1" s="1"/>
  <c r="R52" i="1"/>
  <c r="R55" i="1" s="1"/>
  <c r="W50" i="1"/>
  <c r="W48" i="1" s="1"/>
  <c r="W51" i="1" s="1"/>
  <c r="R50" i="1"/>
  <c r="M50" i="1"/>
  <c r="M48" i="1" s="1"/>
  <c r="M51" i="1" s="1"/>
  <c r="W49" i="1"/>
  <c r="R49" i="1"/>
  <c r="R48" i="1" s="1"/>
  <c r="R51" i="1" s="1"/>
  <c r="M49" i="1"/>
  <c r="F48" i="1"/>
  <c r="F51" i="1" s="1"/>
  <c r="M47" i="1"/>
  <c r="W46" i="1"/>
  <c r="W44" i="1" s="1"/>
  <c r="W47" i="1" s="1"/>
  <c r="R46" i="1"/>
  <c r="R44" i="1" s="1"/>
  <c r="R47" i="1" s="1"/>
  <c r="M46" i="1"/>
  <c r="F46" i="1"/>
  <c r="W45" i="1"/>
  <c r="R45" i="1"/>
  <c r="M45" i="1"/>
  <c r="F45" i="1"/>
  <c r="F44" i="1" s="1"/>
  <c r="F47" i="1" s="1"/>
  <c r="M44" i="1"/>
  <c r="W42" i="1"/>
  <c r="R42" i="1"/>
  <c r="M42" i="1"/>
  <c r="F42" i="1"/>
  <c r="W41" i="1"/>
  <c r="W38" i="1" s="1"/>
  <c r="R41" i="1"/>
  <c r="M41" i="1"/>
  <c r="M38" i="1" s="1"/>
  <c r="F41" i="1"/>
  <c r="W40" i="1"/>
  <c r="R40" i="1"/>
  <c r="M40" i="1"/>
  <c r="F40" i="1"/>
  <c r="W39" i="1"/>
  <c r="R39" i="1"/>
  <c r="R38" i="1" s="1"/>
  <c r="M39" i="1"/>
  <c r="F39" i="1"/>
  <c r="F38" i="1" s="1"/>
  <c r="W36" i="1"/>
  <c r="R36" i="1"/>
  <c r="M36" i="1"/>
  <c r="F36" i="1"/>
  <c r="W33" i="1"/>
  <c r="R33" i="1"/>
  <c r="R32" i="1" s="1"/>
  <c r="M33" i="1"/>
  <c r="M32" i="1" s="1"/>
  <c r="F33" i="1"/>
  <c r="W32" i="1"/>
  <c r="F32" i="1"/>
  <c r="W31" i="1"/>
  <c r="R31" i="1"/>
  <c r="M31" i="1"/>
  <c r="F31" i="1"/>
  <c r="W30" i="1"/>
  <c r="W29" i="1" s="1"/>
  <c r="W27" i="1" s="1"/>
  <c r="W34" i="1" s="1"/>
  <c r="R30" i="1"/>
  <c r="R29" i="1" s="1"/>
  <c r="M30" i="1"/>
  <c r="M29" i="1" s="1"/>
  <c r="M27" i="1" s="1"/>
  <c r="M34" i="1" s="1"/>
  <c r="F30" i="1"/>
  <c r="F29" i="1" s="1"/>
  <c r="W28" i="1"/>
  <c r="R28" i="1"/>
  <c r="M28" i="1"/>
  <c r="F28" i="1"/>
  <c r="F137" i="1" s="1"/>
  <c r="F25" i="1"/>
  <c r="W24" i="1"/>
  <c r="W20" i="1" s="1"/>
  <c r="W25" i="1" s="1"/>
  <c r="R24" i="1"/>
  <c r="M24" i="1"/>
  <c r="W23" i="1"/>
  <c r="R23" i="1"/>
  <c r="M23" i="1"/>
  <c r="W22" i="1"/>
  <c r="R22" i="1"/>
  <c r="M22" i="1"/>
  <c r="M20" i="1" s="1"/>
  <c r="M25" i="1" s="1"/>
  <c r="W21" i="1"/>
  <c r="R21" i="1"/>
  <c r="R20" i="1" s="1"/>
  <c r="R25" i="1" s="1"/>
  <c r="M21" i="1"/>
  <c r="F20" i="1"/>
  <c r="W18" i="1"/>
  <c r="R18" i="1"/>
  <c r="M18" i="1"/>
  <c r="W17" i="1"/>
  <c r="W16" i="1" s="1"/>
  <c r="W19" i="1" s="1"/>
  <c r="R17" i="1"/>
  <c r="R16" i="1" s="1"/>
  <c r="R19" i="1" s="1"/>
  <c r="M17" i="1"/>
  <c r="M16" i="1" s="1"/>
  <c r="M19" i="1" s="1"/>
  <c r="F16" i="1"/>
  <c r="F19" i="1" s="1"/>
  <c r="W14" i="1"/>
  <c r="W13" i="1"/>
  <c r="R13" i="1"/>
  <c r="M13" i="1"/>
  <c r="W12" i="1"/>
  <c r="R12" i="1"/>
  <c r="M12" i="1"/>
  <c r="W11" i="1"/>
  <c r="R11" i="1"/>
  <c r="M11" i="1"/>
  <c r="M8" i="1" s="1"/>
  <c r="W10" i="1"/>
  <c r="R10" i="1"/>
  <c r="R8" i="1" s="1"/>
  <c r="M10" i="1"/>
  <c r="W9" i="1"/>
  <c r="W8" i="1" s="1"/>
  <c r="R9" i="1"/>
  <c r="M9" i="1"/>
  <c r="F8" i="1"/>
  <c r="F15" i="1" s="1"/>
  <c r="R5" i="1"/>
  <c r="M4" i="1"/>
  <c r="M137" i="1" s="1"/>
  <c r="W3" i="1"/>
  <c r="W5" i="1" s="1"/>
  <c r="R3" i="1"/>
  <c r="F3" i="1"/>
  <c r="F5" i="1" s="1"/>
  <c r="F84" i="1" l="1"/>
  <c r="F89" i="1" s="1"/>
  <c r="R70" i="1"/>
  <c r="R65" i="1"/>
  <c r="F37" i="1"/>
  <c r="F43" i="1"/>
  <c r="F35" i="1"/>
  <c r="F58" i="1" s="1"/>
  <c r="R27" i="1"/>
  <c r="R34" i="1" s="1"/>
  <c r="R43" i="1"/>
  <c r="R37" i="1"/>
  <c r="R35" i="1" s="1"/>
  <c r="R58" i="1" s="1"/>
  <c r="W65" i="1"/>
  <c r="W70" i="1"/>
  <c r="M90" i="1"/>
  <c r="M115" i="1" s="1"/>
  <c r="R116" i="1"/>
  <c r="R120" i="1" s="1"/>
  <c r="M59" i="1"/>
  <c r="M78" i="1" s="1"/>
  <c r="W15" i="1"/>
  <c r="W7" i="1"/>
  <c r="W6" i="1" s="1"/>
  <c r="W26" i="1" s="1"/>
  <c r="M43" i="1"/>
  <c r="M37" i="1"/>
  <c r="M35" i="1" s="1"/>
  <c r="M58" i="1" s="1"/>
  <c r="W59" i="1"/>
  <c r="W78" i="1" s="1"/>
  <c r="W92" i="1"/>
  <c r="W90" i="1" s="1"/>
  <c r="W115" i="1" s="1"/>
  <c r="R15" i="1"/>
  <c r="R7" i="1"/>
  <c r="R6" i="1" s="1"/>
  <c r="R26" i="1" s="1"/>
  <c r="M65" i="1"/>
  <c r="M70" i="1"/>
  <c r="W43" i="1"/>
  <c r="W37" i="1"/>
  <c r="W35" i="1" s="1"/>
  <c r="W58" i="1" s="1"/>
  <c r="M98" i="1"/>
  <c r="M92" i="1"/>
  <c r="F121" i="1"/>
  <c r="F129" i="1" s="1"/>
  <c r="M15" i="1"/>
  <c r="M7" i="1"/>
  <c r="M6" i="1" s="1"/>
  <c r="M26" i="1" s="1"/>
  <c r="F98" i="1"/>
  <c r="F92" i="1"/>
  <c r="M121" i="1"/>
  <c r="M129" i="1" s="1"/>
  <c r="F90" i="1"/>
  <c r="F115" i="1" s="1"/>
  <c r="W61" i="1"/>
  <c r="W64" i="1"/>
  <c r="W84" i="1"/>
  <c r="W89" i="1" s="1"/>
  <c r="R121" i="1"/>
  <c r="R129" i="1" s="1"/>
  <c r="R98" i="1"/>
  <c r="R92" i="1"/>
  <c r="R90" i="1" s="1"/>
  <c r="R115" i="1" s="1"/>
  <c r="R61" i="1"/>
  <c r="R59" i="1" s="1"/>
  <c r="R78" i="1" s="1"/>
  <c r="R64" i="1"/>
  <c r="F61" i="1"/>
  <c r="F64" i="1"/>
  <c r="F65" i="1"/>
  <c r="F70" i="1"/>
  <c r="F7" i="1"/>
  <c r="F6" i="1" s="1"/>
  <c r="F26" i="1" s="1"/>
  <c r="F27" i="1"/>
  <c r="F34" i="1" s="1"/>
  <c r="M3" i="1"/>
  <c r="M5" i="1" s="1"/>
  <c r="F59" i="1" l="1"/>
  <c r="F78" i="1" s="1"/>
</calcChain>
</file>

<file path=xl/sharedStrings.xml><?xml version="1.0" encoding="utf-8"?>
<sst xmlns="http://schemas.openxmlformats.org/spreadsheetml/2006/main" count="829" uniqueCount="327">
  <si>
    <t>Etudes</t>
  </si>
  <si>
    <t xml:space="preserve"> Estimation</t>
  </si>
  <si>
    <t>AP Bâtiment</t>
  </si>
  <si>
    <t>GTM BATIMENT AQUITAINE</t>
  </si>
  <si>
    <t>MAB SUD-OUEST</t>
  </si>
  <si>
    <t>Code</t>
  </si>
  <si>
    <t>Désignation</t>
  </si>
  <si>
    <t>Qu.</t>
  </si>
  <si>
    <t>U</t>
  </si>
  <si>
    <t>Px U. HT</t>
  </si>
  <si>
    <t>Px Tot HT</t>
  </si>
  <si>
    <t>UUID Ouvrage</t>
  </si>
  <si>
    <t>UUID Père Ouvrage</t>
  </si>
  <si>
    <t>Type TVA étude</t>
  </si>
  <si>
    <t>Type TVA offre</t>
  </si>
  <si>
    <t>Commentaire poste</t>
  </si>
  <si>
    <t>01.1</t>
  </si>
  <si>
    <t>GENERALITES</t>
  </si>
  <si>
    <t>B4E18C68800CD14CA4CE5A8AD54041DD</t>
  </si>
  <si>
    <t>20202020202020202020202020202020</t>
  </si>
  <si>
    <t>01.1A</t>
  </si>
  <si>
    <t xml:space="preserve"> GENERALITES</t>
  </si>
  <si>
    <t/>
  </si>
  <si>
    <t>Total GENERALITES :</t>
  </si>
  <si>
    <t>01.2</t>
  </si>
  <si>
    <t>INSTALLATION DE CHANTIER</t>
  </si>
  <si>
    <t>22DD0272E5C93241944EF510B3F0309D</t>
  </si>
  <si>
    <t>01.2.1</t>
  </si>
  <si>
    <t xml:space="preserve"> INSTALLATION DE CHANTIER / FRAIS DE CHANTIER / DOCUMENTS TECHNIQUES</t>
  </si>
  <si>
    <t>A19DFF6602EE9449A31C3EBE93A1E360</t>
  </si>
  <si>
    <t>01.2.1.1</t>
  </si>
  <si>
    <t xml:space="preserve">  Installation de chantier propre au lot</t>
  </si>
  <si>
    <t>534E07B83B646F4CB464A44DCFE9ECDE</t>
  </si>
  <si>
    <t>01.2.1.1.1</t>
  </si>
  <si>
    <t xml:space="preserve">   Reconnaissance des lieux</t>
  </si>
  <si>
    <t>ens</t>
  </si>
  <si>
    <t>C251C643F7D4C047978AC1B5CAB31CD2</t>
  </si>
  <si>
    <t>inclus</t>
  </si>
  <si>
    <t>01.2.1.1.2</t>
  </si>
  <si>
    <t xml:space="preserve">   Échafaudage</t>
  </si>
  <si>
    <t>36F55147E18674438AC516FE0ECADB41</t>
  </si>
  <si>
    <t>so</t>
  </si>
  <si>
    <t>01.2.1.1.3</t>
  </si>
  <si>
    <t xml:space="preserve">   Bâches</t>
  </si>
  <si>
    <t>C7D96671E6A36348A7073291122A2EB7</t>
  </si>
  <si>
    <t>01.2.1.1.4</t>
  </si>
  <si>
    <t xml:space="preserve">   Protections individuelles et collectives</t>
  </si>
  <si>
    <t>F3EF8B89C668FD4DAB0A125B7EB671C0</t>
  </si>
  <si>
    <t>compris</t>
  </si>
  <si>
    <t>01.2.1.1.5</t>
  </si>
  <si>
    <t xml:space="preserve">   Moyens d'intervention et de levage</t>
  </si>
  <si>
    <t>EFDC34C0E5D76F43B08E0EFE767A981A</t>
  </si>
  <si>
    <t>01.2.1.1A</t>
  </si>
  <si>
    <t xml:space="preserve">   Installation de chantier propre au lot</t>
  </si>
  <si>
    <t>Total Installation de chantier propre au lot :</t>
  </si>
  <si>
    <t>01.2.1.2</t>
  </si>
  <si>
    <t xml:space="preserve">  Frais de chantier</t>
  </si>
  <si>
    <t>B452A6B0B8F392488963DCB37178628B</t>
  </si>
  <si>
    <t>01.2.1.2.1</t>
  </si>
  <si>
    <t xml:space="preserve">   Gestion des dépenses communes de chantier gérées par le compte prorata</t>
  </si>
  <si>
    <t>A0A42C94D7E9394D93B207557EF61D57</t>
  </si>
  <si>
    <t>01.2.1.2.2</t>
  </si>
  <si>
    <t xml:space="preserve">   Propreté et nettoyage de chantier</t>
  </si>
  <si>
    <t>A03325222C4E9A4796C073CB7FEF981C</t>
  </si>
  <si>
    <t>Total Frais de chantier :</t>
  </si>
  <si>
    <t>01.2.1.3</t>
  </si>
  <si>
    <t xml:space="preserve">  Documents et pièces graphiques</t>
  </si>
  <si>
    <t>8B0CC97BD24AA74F9005CBA4A25420A3</t>
  </si>
  <si>
    <t>01.2.1.3.1</t>
  </si>
  <si>
    <t xml:space="preserve">   Etude d'exécution (EXE) / Notes de calcul / plans de chantier (PAC)</t>
  </si>
  <si>
    <t>8E18699C15E68D4AA4250C46F9B0A83E</t>
  </si>
  <si>
    <t>01.2.1.3.2</t>
  </si>
  <si>
    <t xml:space="preserve">   Notes de calcul / plans de chantier (PAC) </t>
  </si>
  <si>
    <t>7BD421B835728F47957658232C23FFF0</t>
  </si>
  <si>
    <t>01.2.1.3.3</t>
  </si>
  <si>
    <t xml:space="preserve">   DOE</t>
  </si>
  <si>
    <t>19E5DE631694C5419A501C433F58D39B</t>
  </si>
  <si>
    <t>01.2.1.3.4</t>
  </si>
  <si>
    <t xml:space="preserve">   DIUO</t>
  </si>
  <si>
    <t>3932408D9A67B54688D55B8C3B87088C</t>
  </si>
  <si>
    <t>Total Documents et pièces graphiques :</t>
  </si>
  <si>
    <t>Total INSTALLATION DE CHANTIER :</t>
  </si>
  <si>
    <t>01.3</t>
  </si>
  <si>
    <t>EXTERIEUR</t>
  </si>
  <si>
    <t>377968F5686B61428FB7D315AE10FB80</t>
  </si>
  <si>
    <t>01.3.1</t>
  </si>
  <si>
    <t xml:space="preserve"> PREAMBULE</t>
  </si>
  <si>
    <t>B741ECCAA285654199269AD2B3E9DE63</t>
  </si>
  <si>
    <t>01.3.2</t>
  </si>
  <si>
    <t xml:space="preserve"> TRAITEMENT DES FISSURES</t>
  </si>
  <si>
    <t>39A82103359C72408F3DD5EE769D60C2</t>
  </si>
  <si>
    <t>01.3.2.1</t>
  </si>
  <si>
    <t xml:space="preserve">  Travaux de curage</t>
  </si>
  <si>
    <t>472D7C0609BC7F43A2C0D5E9614FD88B</t>
  </si>
  <si>
    <t>01.3.2.2</t>
  </si>
  <si>
    <t xml:space="preserve">  Rebouchage des fissures sur enrobés</t>
  </si>
  <si>
    <t>FF5A8D6D800ED048975C6994983D69D5</t>
  </si>
  <si>
    <t>ml</t>
  </si>
  <si>
    <t>01.3.3</t>
  </si>
  <si>
    <t xml:space="preserve"> MASSIFS BETON</t>
  </si>
  <si>
    <t>F3F6707D7CAD784BBA74A281BEE3CB15</t>
  </si>
  <si>
    <t>01.3.3.1</t>
  </si>
  <si>
    <t xml:space="preserve">  Massifs en béton pour candélabre</t>
  </si>
  <si>
    <t>B29FD4B64DDD264C99084F7AFEA10A81</t>
  </si>
  <si>
    <t>Total EXTERIEUR :</t>
  </si>
  <si>
    <t>01.4</t>
  </si>
  <si>
    <t>BATIMENT H</t>
  </si>
  <si>
    <t>4F1445BCEAEC714FB3FDF62FFC3B6246</t>
  </si>
  <si>
    <t>01.4.1</t>
  </si>
  <si>
    <t>869CA27B1DE801459D4E2FDD7529B30D</t>
  </si>
  <si>
    <t>01.4.2</t>
  </si>
  <si>
    <t xml:space="preserve"> TRAVAUX DE DÉSAMIANTAGE</t>
  </si>
  <si>
    <t>7C2C58E85EE2B34EBCB8120561880B26</t>
  </si>
  <si>
    <t>01.4.2.1</t>
  </si>
  <si>
    <t>A84C74FADA5AC042AE36AD8F80CAFDF1</t>
  </si>
  <si>
    <t>01.4.2.1.1</t>
  </si>
  <si>
    <t xml:space="preserve">   Installation de chantier</t>
  </si>
  <si>
    <t>Forfait</t>
  </si>
  <si>
    <t>32CAF5A2D1A1284E97FED5F5A2EB5AC4</t>
  </si>
  <si>
    <t>01.4.2.1.2</t>
  </si>
  <si>
    <t xml:space="preserve">   Signalétique</t>
  </si>
  <si>
    <t>480C66E2FD242B45A615AE2DDFF89761</t>
  </si>
  <si>
    <t>01.4.2.1.3</t>
  </si>
  <si>
    <t xml:space="preserve">   Confinements / sas de décontamination , sas déchets</t>
  </si>
  <si>
    <t>48274467D395E243BA1542B9B953A866</t>
  </si>
  <si>
    <t>01.4.2.1.4</t>
  </si>
  <si>
    <t xml:space="preserve">   Analyses et mesures d'empoussièrement</t>
  </si>
  <si>
    <t>473824E2D25F6942B8292CD9CB0351D0</t>
  </si>
  <si>
    <t>01.4.2.2</t>
  </si>
  <si>
    <t>97651A8CB1EB194E8B86683AA2CA3B3D</t>
  </si>
  <si>
    <t>01.4.2.2.1</t>
  </si>
  <si>
    <t xml:space="preserve">   Plan de retrait</t>
  </si>
  <si>
    <t>45688DE6BBCD904296BCB6BF38493BD3</t>
  </si>
  <si>
    <t>01.4.2.2.2</t>
  </si>
  <si>
    <t xml:space="preserve">   Bilan aéraulique</t>
  </si>
  <si>
    <t>B61C6C8FE3133F4FA7E4EFECAE020BE9</t>
  </si>
  <si>
    <t>01.4.2.3</t>
  </si>
  <si>
    <t xml:space="preserve">  Travaux préparatoires</t>
  </si>
  <si>
    <t>2C9A7EE6529697459B71803C8F15B45E</t>
  </si>
  <si>
    <t>01.4.2.3.1</t>
  </si>
  <si>
    <t xml:space="preserve">   Débarrassage et curage avant intervention</t>
  </si>
  <si>
    <t>P-M</t>
  </si>
  <si>
    <t>E5DA305198FBAB44967B78B3D246F9D8</t>
  </si>
  <si>
    <t>01.4.2.3.2</t>
  </si>
  <si>
    <t xml:space="preserve">   Investigations complémentaires</t>
  </si>
  <si>
    <t>C98325239652534B87C49D85AC528690</t>
  </si>
  <si>
    <t>Total Travaux préparatoires :</t>
  </si>
  <si>
    <t>01.4.2.4</t>
  </si>
  <si>
    <t xml:space="preserve">  Dépose et évacuation des matériaux amiantifères</t>
  </si>
  <si>
    <t>5E24BB7EF188DD4DA13199C232E15F1D</t>
  </si>
  <si>
    <t>01.4.2.4.1</t>
  </si>
  <si>
    <t xml:space="preserve">   Menuiseries</t>
  </si>
  <si>
    <t>D1B5C775B01EA04CB00D3F2C642ADB6C</t>
  </si>
  <si>
    <t>01.4.2.4.2</t>
  </si>
  <si>
    <t xml:space="preserve">   Enlèvement et traitement des déchets amiantés par incinération</t>
  </si>
  <si>
    <t>80FAF332981F2A4EBD5EAE48677588B6</t>
  </si>
  <si>
    <t>nc</t>
  </si>
  <si>
    <t>Total Dépose et évacuation des matériaux amiantifères :</t>
  </si>
  <si>
    <t>01.4.3</t>
  </si>
  <si>
    <t xml:space="preserve"> TRAVAUX DE CURAGE</t>
  </si>
  <si>
    <t>71AA92EBC4981B4F8D26492A68394687</t>
  </si>
  <si>
    <t>01.4.3.1</t>
  </si>
  <si>
    <t xml:space="preserve">  Dépose profilage béton</t>
  </si>
  <si>
    <t>unité</t>
  </si>
  <si>
    <t>899400BF74EF0E44BDAFEB08EA99DDAD</t>
  </si>
  <si>
    <t>Total BATIMENT H :</t>
  </si>
  <si>
    <t>01.5</t>
  </si>
  <si>
    <t>BATIMENT G</t>
  </si>
  <si>
    <t>3955E7D2175B4040B1751A296E3D29A9</t>
  </si>
  <si>
    <t>01.5.1</t>
  </si>
  <si>
    <t>4FAEB3669B9EA94C9FF04739C0D63708</t>
  </si>
  <si>
    <t>01.5.2</t>
  </si>
  <si>
    <t xml:space="preserve"> SALLE DE MUSCULATION</t>
  </si>
  <si>
    <t>EC850818993D434CA50A3D8FF9F2A1EC</t>
  </si>
  <si>
    <t>01.5.2.1</t>
  </si>
  <si>
    <t xml:space="preserve">  CAROTTAGE</t>
  </si>
  <si>
    <t>1DFF699A58EC854ABDD1CE3A67844093</t>
  </si>
  <si>
    <t>01.5.2.1.1</t>
  </si>
  <si>
    <t xml:space="preserve">   Carottage</t>
  </si>
  <si>
    <t>20325B8EFF920946880585C2270D83FE</t>
  </si>
  <si>
    <t>Total CAROTTAGE :</t>
  </si>
  <si>
    <t>01.5.3</t>
  </si>
  <si>
    <t xml:space="preserve"> ATELIER</t>
  </si>
  <si>
    <t>27BF91218331BA4FA6DA65E26D3C1862</t>
  </si>
  <si>
    <t>01.5.3.1</t>
  </si>
  <si>
    <t xml:space="preserve">  TRAVAUX DE CURAGE</t>
  </si>
  <si>
    <t>7EC32B7ADCB5924C926A23FD19714B4A</t>
  </si>
  <si>
    <t>01.5.3.1.1</t>
  </si>
  <si>
    <t xml:space="preserve">   Travaux curage ouvrages second œuvre</t>
  </si>
  <si>
    <t>B9022B5D04C89A4383C5522948F3672B</t>
  </si>
  <si>
    <t>01.5.3.1.2</t>
  </si>
  <si>
    <t xml:space="preserve">   Travaux curage rampe</t>
  </si>
  <si>
    <t>1E1A502F0C01B6449443B2429C23402B</t>
  </si>
  <si>
    <t>m²</t>
  </si>
  <si>
    <t>01.5.3.1.3</t>
  </si>
  <si>
    <t xml:space="preserve">   Travaux de dépose soignée pour réemploi</t>
  </si>
  <si>
    <t>46D8A3994E6B6146AE098777B7EA64C9</t>
  </si>
  <si>
    <t>Total TRAVAUX DE CURAGE :</t>
  </si>
  <si>
    <t>01.5.3.2</t>
  </si>
  <si>
    <t xml:space="preserve">  RATTRAPAGE DES SUPPORTS</t>
  </si>
  <si>
    <t>9985F073F193B24AA4E38BD40B001CDD</t>
  </si>
  <si>
    <t>01.5.3.2.1</t>
  </si>
  <si>
    <t xml:space="preserve">   Reprise sur revêtements de sols</t>
  </si>
  <si>
    <t>334AF10EC53BF84A9A9304E55BF16BC0</t>
  </si>
  <si>
    <t>01.5.3.2.2</t>
  </si>
  <si>
    <t xml:space="preserve">   Reprise des supports muraux</t>
  </si>
  <si>
    <t>EA97C3BB4CE99041812009D554F84EBF</t>
  </si>
  <si>
    <t>Total RATTRAPAGE DES SUPPORTS :</t>
  </si>
  <si>
    <t>01.5.3.3</t>
  </si>
  <si>
    <t xml:space="preserve">  RAMPE MACONNEE</t>
  </si>
  <si>
    <t>4116186131A83E469189838C1B648EC1</t>
  </si>
  <si>
    <t>01.5.3.3.1</t>
  </si>
  <si>
    <t xml:space="preserve">   Rampe d'accéssibilité maçonnée</t>
  </si>
  <si>
    <t>5CB5EE1EECE1884D9B3BBBDDB756F33A</t>
  </si>
  <si>
    <t>Total RAMPE MACONNEE :</t>
  </si>
  <si>
    <t>Total BATIMENT G :</t>
  </si>
  <si>
    <t>01.6</t>
  </si>
  <si>
    <t>SALLE POLYVALENTE</t>
  </si>
  <si>
    <t>A0566CFFA58BD24587F94C78DDC842E2</t>
  </si>
  <si>
    <t>01.6.1</t>
  </si>
  <si>
    <t>0E74D1AADEB10F47932AE1C903CFA030</t>
  </si>
  <si>
    <t>01.6.2</t>
  </si>
  <si>
    <t xml:space="preserve"> TRAVAUX DE DEMOLITION / CURAGE</t>
  </si>
  <si>
    <t>3D673E0B23199444802BD34BCAF2D110</t>
  </si>
  <si>
    <t>01.6.2.1</t>
  </si>
  <si>
    <t xml:space="preserve">  Travaux curage ouvrages second œuvre</t>
  </si>
  <si>
    <t>5B80B96E90B878428D2ABA5D297C2EF9</t>
  </si>
  <si>
    <t>Total SALLE POLYVALENTE :</t>
  </si>
  <si>
    <t>01.7</t>
  </si>
  <si>
    <t>BATIMENT C/D/E</t>
  </si>
  <si>
    <t>67626288A4B1974AAA8A96360BBB41E7</t>
  </si>
  <si>
    <t>01.7.1</t>
  </si>
  <si>
    <t>69DD38E2BBF1834EB31BE0B76B2F1E03</t>
  </si>
  <si>
    <t>01.7.2</t>
  </si>
  <si>
    <t>CB2F1F8A1A4E2F4DB0E1C57216981106</t>
  </si>
  <si>
    <t>01.7.2.1</t>
  </si>
  <si>
    <t>m2</t>
  </si>
  <si>
    <t>AD3C9402E42F794DAD135B90CE828C1B</t>
  </si>
  <si>
    <t>u</t>
  </si>
  <si>
    <t>01.7.2.2</t>
  </si>
  <si>
    <t>BF79BBBFF02BFA418BFC0602EC519FD6</t>
  </si>
  <si>
    <t>Total BATIMENT C/D/E :</t>
  </si>
  <si>
    <t>01.8</t>
  </si>
  <si>
    <t>BATIMENT F</t>
  </si>
  <si>
    <t>33B4CF271E0D21429B01D5CBF9161FE0</t>
  </si>
  <si>
    <t>01.8.1</t>
  </si>
  <si>
    <t>121BDC0E331156429068DCCB5C55985C</t>
  </si>
  <si>
    <t>01.8.2</t>
  </si>
  <si>
    <t>375BB91E58E79B43A2120CF83C34A737</t>
  </si>
  <si>
    <t>01.8.2.1</t>
  </si>
  <si>
    <t>FFA3EB565F1E5B48B877E8FA44129FE8</t>
  </si>
  <si>
    <t>01.8.2.1.1</t>
  </si>
  <si>
    <t>3B1832A449736E4F9CB1A6D3A91569E1</t>
  </si>
  <si>
    <t>01.8.2.1.2</t>
  </si>
  <si>
    <t>6829B7AD8BCA5F4FA62F53936BC0174E</t>
  </si>
  <si>
    <t>01.8.2.1.3</t>
  </si>
  <si>
    <t>3543B197F6074543807B1D486B4A797E</t>
  </si>
  <si>
    <t>01.8.2.1.4</t>
  </si>
  <si>
    <t>D62548002382154A9AC24EE1D49B5EE1</t>
  </si>
  <si>
    <t>01.8.2.2</t>
  </si>
  <si>
    <t>0185DDFDFD977C43A5E52C87DAF87DCC</t>
  </si>
  <si>
    <t>01.8.2.2.1</t>
  </si>
  <si>
    <t>AC63293DBF5DB94F9810C30243D4DCB9</t>
  </si>
  <si>
    <t>01.8.2.2.2</t>
  </si>
  <si>
    <t>C437FFE64D8E0C4FAEDE0F5D1064FABB</t>
  </si>
  <si>
    <t>01.8.2.3</t>
  </si>
  <si>
    <t>A50AE0E473CDF94D8A61DEBA6D9A9121</t>
  </si>
  <si>
    <t>01.8.2.3.1</t>
  </si>
  <si>
    <t>45AC95D0712D284F99782B6A789190F2</t>
  </si>
  <si>
    <t>01.8.2.3.2</t>
  </si>
  <si>
    <t>21210044C839F849BC72A53F6294731D</t>
  </si>
  <si>
    <t>01.8.2.4</t>
  </si>
  <si>
    <t>ECDC4F48B7EA704B9503DD0C0DC8C84B</t>
  </si>
  <si>
    <t>01.8.2.4.1</t>
  </si>
  <si>
    <t xml:space="preserve">   Menuiseries double vantaux</t>
  </si>
  <si>
    <t>1517B2B57626494498FBBEF808F57D1A</t>
  </si>
  <si>
    <t>01.8.2.4.2</t>
  </si>
  <si>
    <t xml:space="preserve">   Menuiseries simple vantail</t>
  </si>
  <si>
    <t>35B50B55B0A48443A4B45EA31A9144FA</t>
  </si>
  <si>
    <t>01.8.2.4.3</t>
  </si>
  <si>
    <t>A00D3FF46401F34397B9F02A6EAAB538</t>
  </si>
  <si>
    <t>enfouissage</t>
  </si>
  <si>
    <t>01.8.3</t>
  </si>
  <si>
    <t>DD42BD4F86CE7847BF76CC59B9C5B3EC</t>
  </si>
  <si>
    <t>01.8.3.1</t>
  </si>
  <si>
    <t>F0A5B4233CDFD9439D03803E90231A2D</t>
  </si>
  <si>
    <t>écarts arrondis</t>
  </si>
  <si>
    <t>01.8.3.2</t>
  </si>
  <si>
    <t>1A317CA9D2811F4881D6D65068054200</t>
  </si>
  <si>
    <t>Total BATIMENT F :</t>
  </si>
  <si>
    <t>01.9</t>
  </si>
  <si>
    <t>BATIMENT K</t>
  </si>
  <si>
    <t>1114B46397C32945A10F360A55909258</t>
  </si>
  <si>
    <t>01.9.1</t>
  </si>
  <si>
    <t>BC9F6BA7BECEF4479DF7C9F01D69BF14</t>
  </si>
  <si>
    <t>01.9.2</t>
  </si>
  <si>
    <t xml:space="preserve"> RAMPE MACONNEE</t>
  </si>
  <si>
    <t>7858860C5E76CB4D85F8E2C3AB0A76D8</t>
  </si>
  <si>
    <t>01.9.2.1</t>
  </si>
  <si>
    <t xml:space="preserve">  Rampe d'accéssibilité maçonnée</t>
  </si>
  <si>
    <t>BC04E39BEF8DC94EAA0B5A55329FEB7C</t>
  </si>
  <si>
    <t>Total BATIMENT K :</t>
  </si>
  <si>
    <t>01.10</t>
  </si>
  <si>
    <t>BATIMENT J</t>
  </si>
  <si>
    <t>B928884E8975774B8B76070FF859A42E</t>
  </si>
  <si>
    <t>01.10.1</t>
  </si>
  <si>
    <t>294F12AE7261F84EB56BEA6FE8CE215C</t>
  </si>
  <si>
    <t>01.10.2</t>
  </si>
  <si>
    <t>4B3E8C4222CBA2409DD10538E297EB44</t>
  </si>
  <si>
    <t>01.10.2.1</t>
  </si>
  <si>
    <t>BAD3147EAA8F384098C61986007225D5</t>
  </si>
  <si>
    <t>01.10.2.2</t>
  </si>
  <si>
    <t>C3CE450104739E4BB77CBF3BBDCCEF76</t>
  </si>
  <si>
    <t>01.10.2.3</t>
  </si>
  <si>
    <t>CBF859AE7FA61745AEA79C484F78D4ED</t>
  </si>
  <si>
    <t>01.10.3</t>
  </si>
  <si>
    <t xml:space="preserve"> CAROTTAGE</t>
  </si>
  <si>
    <t>DC551CBE83FFFE4CA2DAE3B5BB7AA770</t>
  </si>
  <si>
    <t>01.10.3.1</t>
  </si>
  <si>
    <t xml:space="preserve">  Carottage</t>
  </si>
  <si>
    <t>8843FD3007FD35419034B766837AC6DF</t>
  </si>
  <si>
    <t>Total BATIMENT J :</t>
  </si>
  <si>
    <t>Total pour le lot</t>
  </si>
  <si>
    <t>Pas d'erreur de calcul : 99 500.00 €</t>
  </si>
  <si>
    <t>Ecarts arrondis : 0.09 €
Montant DPGF : 226 109.95 €
Montant vérifié : 226 109.86 €</t>
  </si>
  <si>
    <t>Pas d'erreur de calcul : 200 521.70 €</t>
  </si>
  <si>
    <t>Total HT (20%)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</si>
</sst>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0.00\ \€;\-###,###,###,##0.00\ \€;"/>
    <numFmt numFmtId="165" formatCode="###,###,###,##0.00;\-###,###,###,##0.00;"/>
  </numFmts>
  <fonts count="18" x14ac:knownFonts="1">
    <font>
      <sz val="12"/>
      <color rgb="FF000000"/>
      <name val="Calibri"/>
    </font>
    <font>
      <sz val="11"/>
      <color rgb="FF000000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b/>
      <sz val="10"/>
      <color rgb="FF3A62BE"/>
      <name val="Tahoma"/>
      <family val="2"/>
    </font>
    <font>
      <b/>
      <sz val="10"/>
      <color rgb="FF000000"/>
      <name val="Tahoma"/>
      <family val="2"/>
    </font>
    <font>
      <b/>
      <sz val="10"/>
      <color rgb="FF75A4F8"/>
      <name val="Tahoma"/>
      <family val="2"/>
    </font>
    <font>
      <b/>
      <sz val="10"/>
      <color rgb="FFA7AAA9"/>
      <name val="Tahoma"/>
      <family val="2"/>
    </font>
    <font>
      <b/>
      <sz val="11"/>
      <color rgb="FFAC2C18"/>
      <name val="Tahoma"/>
      <family val="2"/>
    </font>
    <font>
      <b/>
      <sz val="9"/>
      <color rgb="FF1800FC"/>
      <name val="Tahoma"/>
      <family val="2"/>
    </font>
    <font>
      <sz val="9"/>
      <color rgb="FFDC9329"/>
      <name val="Tahoma"/>
      <family val="2"/>
    </font>
    <font>
      <b/>
      <sz val="11"/>
      <color rgb="FF000000"/>
      <name val="Tahoma"/>
      <family val="2"/>
    </font>
    <font>
      <b/>
      <sz val="9"/>
      <color rgb="FF314E85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8"/>
      <color rgb="FF000000"/>
      <name val="Tahoma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DCDDDF"/>
      </left>
      <right/>
      <top style="thin">
        <color rgb="FFDCDDDF"/>
      </top>
      <bottom style="thin">
        <color rgb="FFDCDDDF"/>
      </bottom>
      <diagonal/>
    </border>
    <border>
      <left/>
      <right style="thin">
        <color rgb="FFDCDDDF"/>
      </right>
      <top style="thin">
        <color rgb="FFDCDDDF"/>
      </top>
      <bottom style="thin">
        <color rgb="FFDCDDDF"/>
      </bottom>
      <diagonal/>
    </border>
    <border>
      <left/>
      <right/>
      <top style="thin">
        <color rgb="FFDCDDDF"/>
      </top>
      <bottom style="thin">
        <color rgb="FFDCDDDF"/>
      </bottom>
      <diagonal/>
    </border>
    <border>
      <left style="thin">
        <color rgb="FFDCDDDF"/>
      </left>
      <right style="thin">
        <color rgb="FFDCDDDF"/>
      </right>
      <top style="thin">
        <color rgb="FFDCDDDF"/>
      </top>
      <bottom style="thin">
        <color rgb="FFDCDDDF"/>
      </bottom>
      <diagonal/>
    </border>
    <border>
      <left style="medium">
        <color rgb="FFDCDDDF"/>
      </left>
      <right/>
      <top style="medium">
        <color rgb="FFDCDDDF"/>
      </top>
      <bottom style="medium">
        <color rgb="FFDCDDDF"/>
      </bottom>
      <diagonal/>
    </border>
    <border>
      <left/>
      <right/>
      <top style="medium">
        <color rgb="FFDCDDDF"/>
      </top>
      <bottom style="medium">
        <color rgb="FFDCDDDF"/>
      </bottom>
      <diagonal/>
    </border>
    <border>
      <left/>
      <right style="medium">
        <color rgb="FFDCDDDF"/>
      </right>
      <top style="medium">
        <color rgb="FFDCDDDF"/>
      </top>
      <bottom style="medium">
        <color rgb="FFDCDDDF"/>
      </bottom>
      <diagonal/>
    </border>
  </borders>
  <cellStyleXfs count="7">
    <xf numFmtId="0" fontId="0" fillId="0" borderId="0">
      <alignment vertical="top"/>
    </xf>
    <xf numFmtId="0" fontId="2" fillId="0" borderId="0">
      <alignment vertical="center"/>
    </xf>
    <xf numFmtId="0" fontId="2" fillId="0" borderId="0">
      <alignment horizontal="center" vertical="center"/>
      <protection locked="0"/>
    </xf>
    <xf numFmtId="0" fontId="2" fillId="0" borderId="0">
      <alignment horizontal="right" vertical="center"/>
      <protection locked="0"/>
    </xf>
    <xf numFmtId="0" fontId="2" fillId="0" borderId="0">
      <alignment horizontal="left" vertical="center" wrapText="1"/>
      <protection locked="0"/>
    </xf>
    <xf numFmtId="0" fontId="2" fillId="0" borderId="0">
      <alignment vertical="center"/>
      <protection locked="0"/>
    </xf>
    <xf numFmtId="0" fontId="3" fillId="0" borderId="0">
      <alignment vertical="center"/>
      <protection locked="0"/>
    </xf>
  </cellStyleXfs>
  <cellXfs count="55">
    <xf numFmtId="0" fontId="1" fillId="0" borderId="0" xfId="0" applyFont="1" applyAlignment="1">
      <alignment vertical="center"/>
    </xf>
    <xf numFmtId="0" fontId="4" fillId="0" borderId="1" xfId="1" applyFont="1" applyBorder="1" applyProtection="1">
      <alignment vertical="center"/>
      <protection locked="0"/>
    </xf>
    <xf numFmtId="0" fontId="4" fillId="0" borderId="2" xfId="2" applyFont="1" applyBorder="1">
      <alignment horizontal="center" vertical="center"/>
      <protection locked="0"/>
    </xf>
    <xf numFmtId="0" fontId="2" fillId="0" borderId="3" xfId="1" applyBorder="1" applyProtection="1">
      <alignment vertical="center"/>
      <protection locked="0"/>
    </xf>
    <xf numFmtId="0" fontId="5" fillId="0" borderId="3" xfId="1" applyFont="1" applyBorder="1" applyProtection="1">
      <alignment vertical="center"/>
      <protection locked="0"/>
    </xf>
    <xf numFmtId="0" fontId="6" fillId="0" borderId="4" xfId="2" applyFont="1" applyBorder="1">
      <alignment horizontal="center" vertical="center"/>
      <protection locked="0"/>
    </xf>
    <xf numFmtId="0" fontId="2" fillId="0" borderId="4" xfId="2" applyBorder="1">
      <alignment horizontal="center" vertical="center"/>
      <protection locked="0"/>
    </xf>
    <xf numFmtId="0" fontId="7" fillId="0" borderId="4" xfId="2" applyFont="1" applyBorder="1">
      <alignment horizontal="center" vertical="center"/>
      <protection locked="0"/>
    </xf>
    <xf numFmtId="0" fontId="8" fillId="2" borderId="1" xfId="1" applyFont="1" applyFill="1" applyBorder="1" applyProtection="1">
      <alignment vertical="center"/>
      <protection locked="0"/>
    </xf>
    <xf numFmtId="164" fontId="8" fillId="2" borderId="1" xfId="1" applyNumberFormat="1" applyFont="1" applyFill="1" applyBorder="1" applyProtection="1">
      <alignment vertical="center"/>
      <protection locked="0"/>
    </xf>
    <xf numFmtId="0" fontId="9" fillId="2" borderId="1" xfId="1" applyFont="1" applyFill="1" applyBorder="1" applyProtection="1">
      <alignment vertical="center"/>
      <protection locked="0"/>
    </xf>
    <xf numFmtId="0" fontId="9" fillId="2" borderId="4" xfId="1" applyFont="1" applyFill="1" applyBorder="1" applyProtection="1">
      <alignment vertical="center"/>
      <protection locked="0"/>
    </xf>
    <xf numFmtId="0" fontId="10" fillId="2" borderId="1" xfId="1" applyFont="1" applyFill="1" applyBorder="1" applyProtection="1">
      <alignment vertical="center"/>
      <protection locked="0"/>
    </xf>
    <xf numFmtId="165" fontId="10" fillId="2" borderId="1" xfId="1" applyNumberFormat="1" applyFont="1" applyFill="1" applyBorder="1" applyProtection="1">
      <alignment vertical="center"/>
      <protection locked="0"/>
    </xf>
    <xf numFmtId="164" fontId="10" fillId="2" borderId="1" xfId="1" applyNumberFormat="1" applyFont="1" applyFill="1" applyBorder="1" applyProtection="1">
      <alignment vertical="center"/>
      <protection locked="0"/>
    </xf>
    <xf numFmtId="0" fontId="9" fillId="2" borderId="1" xfId="4" applyFont="1" applyFill="1" applyBorder="1">
      <alignment horizontal="left" vertical="center" wrapText="1"/>
      <protection locked="0"/>
    </xf>
    <xf numFmtId="0" fontId="11" fillId="2" borderId="3" xfId="1" applyFont="1" applyFill="1" applyBorder="1" applyProtection="1">
      <alignment vertical="center"/>
      <protection locked="0"/>
    </xf>
    <xf numFmtId="164" fontId="11" fillId="2" borderId="2" xfId="1" applyNumberFormat="1" applyFont="1" applyFill="1" applyBorder="1" applyProtection="1">
      <alignment vertical="center"/>
      <protection locked="0"/>
    </xf>
    <xf numFmtId="0" fontId="12" fillId="2" borderId="1" xfId="1" applyFont="1" applyFill="1" applyBorder="1" applyProtection="1">
      <alignment vertical="center"/>
      <protection locked="0"/>
    </xf>
    <xf numFmtId="165" fontId="12" fillId="2" borderId="1" xfId="1" applyNumberFormat="1" applyFont="1" applyFill="1" applyBorder="1" applyProtection="1">
      <alignment vertical="center"/>
      <protection locked="0"/>
    </xf>
    <xf numFmtId="0" fontId="12" fillId="2" borderId="1" xfId="2" applyFont="1" applyFill="1" applyBorder="1">
      <alignment horizontal="center" vertical="center"/>
      <protection locked="0"/>
    </xf>
    <xf numFmtId="164" fontId="12" fillId="2" borderId="1" xfId="1" applyNumberFormat="1" applyFont="1" applyFill="1" applyBorder="1" applyProtection="1">
      <alignment vertical="center"/>
      <protection locked="0"/>
    </xf>
    <xf numFmtId="0" fontId="9" fillId="2" borderId="4" xfId="4" applyFont="1" applyFill="1" applyBorder="1">
      <alignment horizontal="left" vertical="center" wrapText="1"/>
      <protection locked="0"/>
    </xf>
    <xf numFmtId="0" fontId="13" fillId="2" borderId="1" xfId="1" applyFont="1" applyFill="1" applyBorder="1" applyProtection="1">
      <alignment vertical="center"/>
      <protection locked="0"/>
    </xf>
    <xf numFmtId="165" fontId="13" fillId="2" borderId="1" xfId="1" applyNumberFormat="1" applyFont="1" applyFill="1" applyBorder="1" applyProtection="1">
      <alignment vertical="center"/>
      <protection locked="0"/>
    </xf>
    <xf numFmtId="0" fontId="13" fillId="2" borderId="1" xfId="2" applyFont="1" applyFill="1" applyBorder="1">
      <alignment horizontal="center" vertical="center"/>
      <protection locked="0"/>
    </xf>
    <xf numFmtId="164" fontId="13" fillId="2" borderId="1" xfId="1" applyNumberFormat="1" applyFont="1" applyFill="1" applyBorder="1" applyProtection="1">
      <alignment vertical="center"/>
      <protection locked="0"/>
    </xf>
    <xf numFmtId="0" fontId="14" fillId="2" borderId="1" xfId="1" applyFont="1" applyFill="1" applyBorder="1" applyProtection="1">
      <alignment vertical="center"/>
      <protection locked="0"/>
    </xf>
    <xf numFmtId="165" fontId="14" fillId="2" borderId="1" xfId="1" applyNumberFormat="1" applyFont="1" applyFill="1" applyBorder="1" applyProtection="1">
      <alignment vertical="center"/>
      <protection locked="0"/>
    </xf>
    <xf numFmtId="0" fontId="14" fillId="2" borderId="1" xfId="2" applyFont="1" applyFill="1" applyBorder="1">
      <alignment horizontal="center" vertical="center"/>
      <protection locked="0"/>
    </xf>
    <xf numFmtId="164" fontId="14" fillId="2" borderId="1" xfId="1" applyNumberFormat="1" applyFont="1" applyFill="1" applyBorder="1" applyProtection="1">
      <alignment vertical="center"/>
      <protection locked="0"/>
    </xf>
    <xf numFmtId="0" fontId="15" fillId="2" borderId="3" xfId="1" applyFont="1" applyFill="1" applyBorder="1" applyProtection="1">
      <alignment vertical="center"/>
      <protection locked="0"/>
    </xf>
    <xf numFmtId="164" fontId="15" fillId="2" borderId="2" xfId="1" applyNumberFormat="1" applyFont="1" applyFill="1" applyBorder="1" applyProtection="1">
      <alignment vertical="center"/>
      <protection locked="0"/>
    </xf>
    <xf numFmtId="0" fontId="2" fillId="0" borderId="0" xfId="1" applyProtection="1">
      <alignment vertical="center"/>
      <protection locked="0"/>
    </xf>
    <xf numFmtId="0" fontId="11" fillId="2" borderId="0" xfId="1" applyFont="1" applyFill="1" applyProtection="1">
      <alignment vertical="center"/>
      <protection locked="0"/>
    </xf>
    <xf numFmtId="0" fontId="17" fillId="2" borderId="6" xfId="1" applyFont="1" applyFill="1" applyBorder="1" applyProtection="1">
      <alignment vertical="center"/>
      <protection locked="0"/>
    </xf>
    <xf numFmtId="164" fontId="17" fillId="2" borderId="7" xfId="3" applyNumberFormat="1" applyFont="1" applyFill="1" applyBorder="1">
      <alignment horizontal="right" vertical="center"/>
      <protection locked="0"/>
    </xf>
    <xf numFmtId="0" fontId="17" fillId="2" borderId="7" xfId="1" applyFont="1" applyFill="1" applyBorder="1" applyProtection="1">
      <alignment vertical="center"/>
      <protection locked="0"/>
    </xf>
    <xf numFmtId="0" fontId="4" fillId="0" borderId="1" xfId="2" applyFont="1" applyBorder="1">
      <alignment horizontal="center" vertical="center"/>
      <protection locked="0"/>
    </xf>
    <xf numFmtId="0" fontId="4" fillId="0" borderId="3" xfId="1" applyFont="1" applyBorder="1" applyProtection="1">
      <alignment vertical="center"/>
      <protection locked="0"/>
    </xf>
    <xf numFmtId="0" fontId="4" fillId="0" borderId="2" xfId="1" applyFont="1" applyBorder="1" applyProtection="1">
      <alignment vertical="center"/>
      <protection locked="0"/>
    </xf>
    <xf numFmtId="0" fontId="5" fillId="0" borderId="1" xfId="2" applyFont="1" applyBorder="1">
      <alignment horizontal="center" vertical="center"/>
      <protection locked="0"/>
    </xf>
    <xf numFmtId="0" fontId="5" fillId="0" borderId="3" xfId="1" applyFont="1" applyBorder="1" applyProtection="1">
      <alignment vertical="center"/>
      <protection locked="0"/>
    </xf>
    <xf numFmtId="0" fontId="5" fillId="0" borderId="2" xfId="1" applyFont="1" applyBorder="1" applyProtection="1">
      <alignment vertical="center"/>
      <protection locked="0"/>
    </xf>
    <xf numFmtId="0" fontId="11" fillId="2" borderId="3" xfId="3" applyFont="1" applyFill="1" applyBorder="1">
      <alignment horizontal="right" vertical="center"/>
      <protection locked="0"/>
    </xf>
    <xf numFmtId="0" fontId="11" fillId="2" borderId="3" xfId="1" applyFont="1" applyFill="1" applyBorder="1" applyProtection="1">
      <alignment vertical="center"/>
      <protection locked="0"/>
    </xf>
    <xf numFmtId="0" fontId="15" fillId="2" borderId="3" xfId="3" applyFont="1" applyFill="1" applyBorder="1">
      <alignment horizontal="right" vertical="center"/>
      <protection locked="0"/>
    </xf>
    <xf numFmtId="0" fontId="15" fillId="2" borderId="3" xfId="1" applyFont="1" applyFill="1" applyBorder="1" applyProtection="1">
      <alignment vertical="center"/>
      <protection locked="0"/>
    </xf>
    <xf numFmtId="0" fontId="11" fillId="2" borderId="0" xfId="2" applyFont="1" applyFill="1">
      <alignment horizontal="center" vertical="center"/>
      <protection locked="0"/>
    </xf>
    <xf numFmtId="0" fontId="11" fillId="2" borderId="0" xfId="1" applyFont="1" applyFill="1" applyProtection="1">
      <alignment vertical="center"/>
      <protection locked="0"/>
    </xf>
    <xf numFmtId="0" fontId="16" fillId="2" borderId="5" xfId="0" applyFont="1" applyFill="1" applyBorder="1" applyAlignment="1" applyProtection="1">
      <alignment vertical="center"/>
      <protection locked="0"/>
    </xf>
    <xf numFmtId="0" fontId="17" fillId="2" borderId="6" xfId="1" applyFont="1" applyFill="1" applyBorder="1" applyProtection="1">
      <alignment vertical="center"/>
      <protection locked="0"/>
    </xf>
    <xf numFmtId="0" fontId="2" fillId="0" borderId="0" xfId="1" applyAlignment="1" applyProtection="1">
      <alignment horizontal="center" vertical="center"/>
      <protection locked="0"/>
    </xf>
    <xf numFmtId="0" fontId="2" fillId="0" borderId="0" xfId="1" applyProtection="1">
      <alignment vertical="center"/>
      <protection locked="0"/>
    </xf>
    <xf numFmtId="0" fontId="2" fillId="0" borderId="0" xfId="1" applyAlignment="1" applyProtection="1">
      <alignment horizontal="center" vertical="center" wrapText="1"/>
      <protection locked="0"/>
    </xf>
  </cellXfs>
  <cellStyles count="7">
    <cellStyle name="default" xfId="1" xr:uid="{00000000-0005-0000-0000-000001000000}"/>
    <cellStyle name="gras" xfId="6" xr:uid="{00000000-0005-0000-0000-000006000000}"/>
    <cellStyle name="horizontal_centre" xfId="2" xr:uid="{00000000-0005-0000-0000-000002000000}"/>
    <cellStyle name="horizontal_droite" xfId="3" xr:uid="{00000000-0005-0000-0000-000003000000}"/>
    <cellStyle name="horizontal_rl" xfId="4" xr:uid="{00000000-0005-0000-0000-000004000000}"/>
    <cellStyle name="Normal" xfId="0" builtinId="0"/>
    <cellStyle name="taille_11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1A508-D6FB-27BC-72C6-9BF97132A2FD}">
  <dimension ref="A1:X138"/>
  <sheetViews>
    <sheetView showGridLines="0" tabSelected="1" topLeftCell="B1" zoomScale="90" workbookViewId="0">
      <pane ySplit="2" topLeftCell="A115" activePane="bottomLeft" state="frozen"/>
      <selection pane="bottomLeft" activeCell="Q147" sqref="Q147"/>
    </sheetView>
  </sheetViews>
  <sheetFormatPr baseColWidth="10" defaultColWidth="7.75" defaultRowHeight="15" customHeight="1" x14ac:dyDescent="0.5"/>
  <cols>
    <col min="1" max="1" width="9.5" customWidth="1"/>
    <col min="2" max="2" width="56.75" customWidth="1"/>
    <col min="3" max="3" width="9.5" customWidth="1"/>
    <col min="4" max="4" width="7.125" customWidth="1"/>
    <col min="5" max="5" width="14.125" customWidth="1"/>
    <col min="6" max="6" width="16.5" customWidth="1"/>
    <col min="7" max="10" width="25" hidden="1" customWidth="1"/>
    <col min="11" max="11" width="9.5" customWidth="1"/>
    <col min="12" max="12" width="14.125" customWidth="1"/>
    <col min="13" max="13" width="16.5" customWidth="1"/>
    <col min="14" max="14" width="14.125" customWidth="1"/>
    <col min="15" max="15" width="25" hidden="1" customWidth="1"/>
    <col min="16" max="16" width="9.5" customWidth="1"/>
    <col min="17" max="17" width="14.125" customWidth="1"/>
    <col min="18" max="18" width="16.5" customWidth="1"/>
    <col min="19" max="19" width="14.125" customWidth="1"/>
    <col min="20" max="20" width="25" hidden="1" customWidth="1"/>
    <col min="21" max="21" width="9.5" customWidth="1"/>
    <col min="22" max="22" width="14.125" customWidth="1"/>
    <col min="23" max="23" width="16.5" customWidth="1"/>
    <col min="24" max="24" width="14.125" customWidth="1"/>
  </cols>
  <sheetData>
    <row r="1" spans="1:24" ht="14.25" customHeight="1" x14ac:dyDescent="0.5">
      <c r="A1" s="1"/>
      <c r="B1" s="2" t="s">
        <v>0</v>
      </c>
      <c r="C1" s="38" t="s">
        <v>1</v>
      </c>
      <c r="D1" s="39"/>
      <c r="E1" s="39"/>
      <c r="F1" s="40"/>
      <c r="G1" s="3"/>
      <c r="H1" s="3"/>
      <c r="I1" s="3"/>
      <c r="J1" s="3"/>
      <c r="K1" s="41" t="s">
        <v>2</v>
      </c>
      <c r="L1" s="42"/>
      <c r="M1" s="42"/>
      <c r="N1" s="43"/>
      <c r="O1" s="4"/>
      <c r="P1" s="41" t="s">
        <v>3</v>
      </c>
      <c r="Q1" s="42"/>
      <c r="R1" s="42"/>
      <c r="S1" s="43"/>
      <c r="T1" s="4"/>
      <c r="U1" s="41" t="s">
        <v>4</v>
      </c>
      <c r="V1" s="42"/>
      <c r="W1" s="42"/>
      <c r="X1" s="43"/>
    </row>
    <row r="2" spans="1:24" ht="14.25" customHeight="1" x14ac:dyDescent="0.5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7" t="s">
        <v>7</v>
      </c>
      <c r="L2" s="7" t="s">
        <v>9</v>
      </c>
      <c r="M2" s="7" t="s">
        <v>10</v>
      </c>
      <c r="N2" s="7" t="s">
        <v>15</v>
      </c>
      <c r="O2" s="7" t="s">
        <v>14</v>
      </c>
      <c r="P2" s="7" t="s">
        <v>7</v>
      </c>
      <c r="Q2" s="7" t="s">
        <v>9</v>
      </c>
      <c r="R2" s="7" t="s">
        <v>10</v>
      </c>
      <c r="S2" s="7" t="s">
        <v>15</v>
      </c>
      <c r="T2" s="7" t="s">
        <v>14</v>
      </c>
      <c r="U2" s="7" t="s">
        <v>7</v>
      </c>
      <c r="V2" s="7" t="s">
        <v>9</v>
      </c>
      <c r="W2" s="7" t="s">
        <v>10</v>
      </c>
      <c r="X2" s="7" t="s">
        <v>15</v>
      </c>
    </row>
    <row r="3" spans="1:24" ht="28.5" customHeight="1" x14ac:dyDescent="0.5">
      <c r="A3" s="8" t="s">
        <v>16</v>
      </c>
      <c r="B3" s="8" t="s">
        <v>17</v>
      </c>
      <c r="C3" s="8"/>
      <c r="D3" s="8"/>
      <c r="E3" s="8"/>
      <c r="F3" s="9">
        <f t="shared" ref="F3:W127" si="0">SUMIF($H:$H,$G3,F:F)</f>
        <v>0</v>
      </c>
      <c r="G3" s="8" t="s">
        <v>18</v>
      </c>
      <c r="H3" s="8" t="s">
        <v>19</v>
      </c>
      <c r="I3" s="8"/>
      <c r="J3" s="8"/>
      <c r="K3" s="8"/>
      <c r="L3" s="8"/>
      <c r="M3" s="9">
        <f t="shared" si="0"/>
        <v>1259.06</v>
      </c>
      <c r="N3" s="10"/>
      <c r="O3" s="8"/>
      <c r="P3" s="8"/>
      <c r="Q3" s="8"/>
      <c r="R3" s="9">
        <f t="shared" si="0"/>
        <v>0</v>
      </c>
      <c r="S3" s="10"/>
      <c r="T3" s="8"/>
      <c r="U3" s="8"/>
      <c r="V3" s="8"/>
      <c r="W3" s="9">
        <f t="shared" si="0"/>
        <v>0</v>
      </c>
      <c r="X3" s="11"/>
    </row>
    <row r="4" spans="1:24" ht="28.5" customHeight="1" x14ac:dyDescent="0.5">
      <c r="A4" s="12" t="s">
        <v>20</v>
      </c>
      <c r="B4" s="12" t="s">
        <v>21</v>
      </c>
      <c r="C4" s="12"/>
      <c r="D4" s="12"/>
      <c r="E4" s="12"/>
      <c r="F4" s="12"/>
      <c r="G4" s="12" t="s">
        <v>19</v>
      </c>
      <c r="H4" s="12" t="s">
        <v>18</v>
      </c>
      <c r="I4" s="12"/>
      <c r="J4" s="12">
        <v>1</v>
      </c>
      <c r="K4" s="13">
        <v>1</v>
      </c>
      <c r="L4" s="14">
        <v>1259.06</v>
      </c>
      <c r="M4" s="14">
        <f t="shared" ref="M4:W128" si="1">ROUND((K4*L4),2)</f>
        <v>1259.06</v>
      </c>
      <c r="N4" s="15" t="s">
        <v>22</v>
      </c>
      <c r="O4" s="12"/>
      <c r="P4" s="12"/>
      <c r="Q4" s="12"/>
      <c r="R4" s="12"/>
      <c r="S4" s="10"/>
      <c r="T4" s="12"/>
      <c r="U4" s="12"/>
      <c r="V4" s="12"/>
      <c r="W4" s="12"/>
      <c r="X4" s="11"/>
    </row>
    <row r="5" spans="1:24" ht="28.5" customHeight="1" x14ac:dyDescent="0.5">
      <c r="A5" s="44" t="s">
        <v>23</v>
      </c>
      <c r="B5" s="45"/>
      <c r="C5" s="16"/>
      <c r="D5" s="16"/>
      <c r="E5" s="16"/>
      <c r="F5" s="17">
        <f t="shared" ref="F5:W5" si="2">SUMIF($G:$G,"B4E18C68800CD14CA4CE5A8AD54041DD",F:F)</f>
        <v>0</v>
      </c>
      <c r="G5" s="16"/>
      <c r="H5" s="16"/>
      <c r="I5" s="16"/>
      <c r="J5" s="16"/>
      <c r="K5" s="16"/>
      <c r="L5" s="16"/>
      <c r="M5" s="17">
        <f t="shared" si="2"/>
        <v>1259.06</v>
      </c>
      <c r="N5" s="16"/>
      <c r="O5" s="16"/>
      <c r="P5" s="16"/>
      <c r="Q5" s="16"/>
      <c r="R5" s="17">
        <f t="shared" si="2"/>
        <v>0</v>
      </c>
      <c r="S5" s="16"/>
      <c r="T5" s="16"/>
      <c r="U5" s="16"/>
      <c r="V5" s="16"/>
      <c r="W5" s="17">
        <f t="shared" si="2"/>
        <v>0</v>
      </c>
      <c r="X5" s="16"/>
    </row>
    <row r="6" spans="1:24" ht="28.5" customHeight="1" x14ac:dyDescent="0.5">
      <c r="A6" s="8" t="s">
        <v>24</v>
      </c>
      <c r="B6" s="8" t="s">
        <v>25</v>
      </c>
      <c r="C6" s="8"/>
      <c r="D6" s="8"/>
      <c r="E6" s="8"/>
      <c r="F6" s="9">
        <f t="shared" si="0"/>
        <v>0</v>
      </c>
      <c r="G6" s="8" t="s">
        <v>26</v>
      </c>
      <c r="H6" s="8" t="s">
        <v>19</v>
      </c>
      <c r="I6" s="8"/>
      <c r="J6" s="8"/>
      <c r="K6" s="8"/>
      <c r="L6" s="8"/>
      <c r="M6" s="9">
        <f t="shared" si="0"/>
        <v>1555</v>
      </c>
      <c r="N6" s="10"/>
      <c r="O6" s="8"/>
      <c r="P6" s="8"/>
      <c r="Q6" s="8"/>
      <c r="R6" s="9">
        <f t="shared" si="0"/>
        <v>16855.640000000003</v>
      </c>
      <c r="S6" s="10"/>
      <c r="T6" s="8"/>
      <c r="U6" s="8"/>
      <c r="V6" s="8"/>
      <c r="W6" s="9">
        <f t="shared" si="0"/>
        <v>8788.260000000002</v>
      </c>
      <c r="X6" s="11"/>
    </row>
    <row r="7" spans="1:24" ht="28.5" customHeight="1" x14ac:dyDescent="0.5">
      <c r="A7" s="18" t="s">
        <v>27</v>
      </c>
      <c r="B7" s="18" t="s">
        <v>28</v>
      </c>
      <c r="C7" s="19">
        <v>0</v>
      </c>
      <c r="D7" s="20" t="s">
        <v>22</v>
      </c>
      <c r="E7" s="21">
        <v>0</v>
      </c>
      <c r="F7" s="21">
        <f t="shared" si="0"/>
        <v>0</v>
      </c>
      <c r="G7" s="18" t="s">
        <v>29</v>
      </c>
      <c r="H7" s="18" t="s">
        <v>26</v>
      </c>
      <c r="I7" s="18"/>
      <c r="J7" s="18"/>
      <c r="K7" s="19">
        <v>0</v>
      </c>
      <c r="L7" s="21">
        <v>0</v>
      </c>
      <c r="M7" s="21">
        <f t="shared" si="0"/>
        <v>1555</v>
      </c>
      <c r="N7" s="15" t="s">
        <v>22</v>
      </c>
      <c r="O7" s="18"/>
      <c r="P7" s="19">
        <v>0</v>
      </c>
      <c r="Q7" s="21">
        <v>0</v>
      </c>
      <c r="R7" s="21">
        <f t="shared" si="0"/>
        <v>16855.640000000003</v>
      </c>
      <c r="S7" s="15" t="s">
        <v>22</v>
      </c>
      <c r="T7" s="18"/>
      <c r="U7" s="19">
        <v>0</v>
      </c>
      <c r="V7" s="21">
        <v>0</v>
      </c>
      <c r="W7" s="21">
        <f t="shared" si="0"/>
        <v>8788.260000000002</v>
      </c>
      <c r="X7" s="22" t="s">
        <v>22</v>
      </c>
    </row>
    <row r="8" spans="1:24" ht="28.5" customHeight="1" x14ac:dyDescent="0.5">
      <c r="A8" s="23" t="s">
        <v>30</v>
      </c>
      <c r="B8" s="23" t="s">
        <v>31</v>
      </c>
      <c r="C8" s="24">
        <v>0</v>
      </c>
      <c r="D8" s="25" t="s">
        <v>22</v>
      </c>
      <c r="E8" s="26">
        <v>0</v>
      </c>
      <c r="F8" s="26">
        <f t="shared" si="0"/>
        <v>0</v>
      </c>
      <c r="G8" s="23" t="s">
        <v>32</v>
      </c>
      <c r="H8" s="23" t="s">
        <v>29</v>
      </c>
      <c r="I8" s="23"/>
      <c r="J8" s="23"/>
      <c r="K8" s="24">
        <v>0</v>
      </c>
      <c r="L8" s="26">
        <v>0</v>
      </c>
      <c r="M8" s="26">
        <f t="shared" si="0"/>
        <v>720</v>
      </c>
      <c r="N8" s="15" t="s">
        <v>22</v>
      </c>
      <c r="O8" s="23"/>
      <c r="P8" s="24">
        <v>0</v>
      </c>
      <c r="Q8" s="26">
        <v>0</v>
      </c>
      <c r="R8" s="26">
        <f t="shared" si="0"/>
        <v>9918.7900000000009</v>
      </c>
      <c r="S8" s="15" t="s">
        <v>22</v>
      </c>
      <c r="T8" s="23"/>
      <c r="U8" s="24">
        <v>0</v>
      </c>
      <c r="V8" s="26">
        <v>0</v>
      </c>
      <c r="W8" s="26">
        <f t="shared" si="0"/>
        <v>5905.6100000000006</v>
      </c>
      <c r="X8" s="22" t="s">
        <v>22</v>
      </c>
    </row>
    <row r="9" spans="1:24" ht="28.5" customHeight="1" x14ac:dyDescent="0.5">
      <c r="A9" s="27" t="s">
        <v>33</v>
      </c>
      <c r="B9" s="27" t="s">
        <v>34</v>
      </c>
      <c r="C9" s="28">
        <v>0</v>
      </c>
      <c r="D9" s="29" t="s">
        <v>35</v>
      </c>
      <c r="E9" s="30">
        <v>0</v>
      </c>
      <c r="F9" s="30">
        <v>0</v>
      </c>
      <c r="G9" s="27" t="s">
        <v>36</v>
      </c>
      <c r="H9" s="27" t="s">
        <v>32</v>
      </c>
      <c r="I9" s="27">
        <v>1</v>
      </c>
      <c r="J9" s="27">
        <v>1</v>
      </c>
      <c r="K9" s="28">
        <v>1</v>
      </c>
      <c r="L9" s="30">
        <v>20</v>
      </c>
      <c r="M9" s="30">
        <f t="shared" si="1"/>
        <v>20</v>
      </c>
      <c r="N9" s="15" t="s">
        <v>22</v>
      </c>
      <c r="O9" s="27">
        <v>1</v>
      </c>
      <c r="P9" s="28">
        <v>0</v>
      </c>
      <c r="Q9" s="30">
        <v>0</v>
      </c>
      <c r="R9" s="30">
        <f t="shared" si="1"/>
        <v>0</v>
      </c>
      <c r="S9" s="15" t="s">
        <v>37</v>
      </c>
      <c r="T9" s="27">
        <v>1</v>
      </c>
      <c r="U9" s="28">
        <v>3</v>
      </c>
      <c r="V9" s="30">
        <v>1020.41</v>
      </c>
      <c r="W9" s="30">
        <f t="shared" si="1"/>
        <v>3061.23</v>
      </c>
      <c r="X9" s="22" t="s">
        <v>22</v>
      </c>
    </row>
    <row r="10" spans="1:24" ht="28.5" customHeight="1" x14ac:dyDescent="0.5">
      <c r="A10" s="27" t="s">
        <v>38</v>
      </c>
      <c r="B10" s="27" t="s">
        <v>39</v>
      </c>
      <c r="C10" s="28">
        <v>0</v>
      </c>
      <c r="D10" s="29" t="s">
        <v>35</v>
      </c>
      <c r="E10" s="30">
        <v>0</v>
      </c>
      <c r="F10" s="30">
        <v>0</v>
      </c>
      <c r="G10" s="27" t="s">
        <v>40</v>
      </c>
      <c r="H10" s="27" t="s">
        <v>32</v>
      </c>
      <c r="I10" s="27">
        <v>1</v>
      </c>
      <c r="J10" s="27">
        <v>1</v>
      </c>
      <c r="K10" s="28">
        <v>1</v>
      </c>
      <c r="L10" s="30">
        <v>200</v>
      </c>
      <c r="M10" s="30">
        <f t="shared" si="1"/>
        <v>200</v>
      </c>
      <c r="N10" s="15" t="s">
        <v>22</v>
      </c>
      <c r="O10" s="27">
        <v>1</v>
      </c>
      <c r="P10" s="28">
        <v>1</v>
      </c>
      <c r="Q10" s="30">
        <v>638.04999999999995</v>
      </c>
      <c r="R10" s="30">
        <f t="shared" si="1"/>
        <v>638.04999999999995</v>
      </c>
      <c r="S10" s="15" t="s">
        <v>22</v>
      </c>
      <c r="T10" s="27">
        <v>1</v>
      </c>
      <c r="U10" s="28">
        <v>0</v>
      </c>
      <c r="V10" s="30">
        <v>0</v>
      </c>
      <c r="W10" s="30">
        <f t="shared" si="1"/>
        <v>0</v>
      </c>
      <c r="X10" s="22" t="s">
        <v>41</v>
      </c>
    </row>
    <row r="11" spans="1:24" ht="28.5" customHeight="1" x14ac:dyDescent="0.5">
      <c r="A11" s="27" t="s">
        <v>42</v>
      </c>
      <c r="B11" s="27" t="s">
        <v>43</v>
      </c>
      <c r="C11" s="28">
        <v>0</v>
      </c>
      <c r="D11" s="29" t="s">
        <v>35</v>
      </c>
      <c r="E11" s="30">
        <v>0</v>
      </c>
      <c r="F11" s="30">
        <v>0</v>
      </c>
      <c r="G11" s="27" t="s">
        <v>44</v>
      </c>
      <c r="H11" s="27" t="s">
        <v>32</v>
      </c>
      <c r="I11" s="27">
        <v>1</v>
      </c>
      <c r="J11" s="27">
        <v>1</v>
      </c>
      <c r="K11" s="28">
        <v>1</v>
      </c>
      <c r="L11" s="30">
        <v>200</v>
      </c>
      <c r="M11" s="30">
        <f t="shared" si="1"/>
        <v>200</v>
      </c>
      <c r="N11" s="15" t="s">
        <v>22</v>
      </c>
      <c r="O11" s="27">
        <v>1</v>
      </c>
      <c r="P11" s="28">
        <v>1</v>
      </c>
      <c r="Q11" s="30">
        <v>3335.26</v>
      </c>
      <c r="R11" s="30">
        <f t="shared" si="1"/>
        <v>3335.26</v>
      </c>
      <c r="S11" s="15" t="s">
        <v>22</v>
      </c>
      <c r="T11" s="27">
        <v>1</v>
      </c>
      <c r="U11" s="28">
        <v>0</v>
      </c>
      <c r="V11" s="30">
        <v>0</v>
      </c>
      <c r="W11" s="30">
        <f t="shared" si="1"/>
        <v>0</v>
      </c>
      <c r="X11" s="22" t="s">
        <v>41</v>
      </c>
    </row>
    <row r="12" spans="1:24" ht="28.5" customHeight="1" x14ac:dyDescent="0.5">
      <c r="A12" s="27" t="s">
        <v>45</v>
      </c>
      <c r="B12" s="27" t="s">
        <v>46</v>
      </c>
      <c r="C12" s="28">
        <v>0</v>
      </c>
      <c r="D12" s="29" t="s">
        <v>35</v>
      </c>
      <c r="E12" s="30">
        <v>0</v>
      </c>
      <c r="F12" s="30">
        <v>0</v>
      </c>
      <c r="G12" s="27" t="s">
        <v>47</v>
      </c>
      <c r="H12" s="27" t="s">
        <v>32</v>
      </c>
      <c r="I12" s="27">
        <v>1</v>
      </c>
      <c r="J12" s="27">
        <v>1</v>
      </c>
      <c r="K12" s="28">
        <v>1</v>
      </c>
      <c r="L12" s="30">
        <v>100</v>
      </c>
      <c r="M12" s="30">
        <f t="shared" si="1"/>
        <v>100</v>
      </c>
      <c r="N12" s="15" t="s">
        <v>22</v>
      </c>
      <c r="O12" s="27">
        <v>1</v>
      </c>
      <c r="P12" s="28">
        <v>1</v>
      </c>
      <c r="Q12" s="30">
        <v>2465.1999999999998</v>
      </c>
      <c r="R12" s="30">
        <f t="shared" si="1"/>
        <v>2465.1999999999998</v>
      </c>
      <c r="S12" s="15" t="s">
        <v>22</v>
      </c>
      <c r="T12" s="27">
        <v>1</v>
      </c>
      <c r="U12" s="28">
        <v>0</v>
      </c>
      <c r="V12" s="30">
        <v>0</v>
      </c>
      <c r="W12" s="30">
        <f t="shared" si="1"/>
        <v>0</v>
      </c>
      <c r="X12" s="22" t="s">
        <v>48</v>
      </c>
    </row>
    <row r="13" spans="1:24" ht="28.5" customHeight="1" x14ac:dyDescent="0.5">
      <c r="A13" s="27" t="s">
        <v>49</v>
      </c>
      <c r="B13" s="27" t="s">
        <v>50</v>
      </c>
      <c r="C13" s="28">
        <v>0</v>
      </c>
      <c r="D13" s="29" t="s">
        <v>35</v>
      </c>
      <c r="E13" s="30">
        <v>0</v>
      </c>
      <c r="F13" s="30">
        <v>0</v>
      </c>
      <c r="G13" s="27" t="s">
        <v>51</v>
      </c>
      <c r="H13" s="27" t="s">
        <v>32</v>
      </c>
      <c r="I13" s="27">
        <v>1</v>
      </c>
      <c r="J13" s="27">
        <v>1</v>
      </c>
      <c r="K13" s="28">
        <v>1</v>
      </c>
      <c r="L13" s="30">
        <v>200</v>
      </c>
      <c r="M13" s="30">
        <f t="shared" si="1"/>
        <v>200</v>
      </c>
      <c r="N13" s="15" t="s">
        <v>22</v>
      </c>
      <c r="O13" s="27">
        <v>1</v>
      </c>
      <c r="P13" s="28">
        <v>1</v>
      </c>
      <c r="Q13" s="30">
        <v>3480.28</v>
      </c>
      <c r="R13" s="30">
        <f t="shared" si="1"/>
        <v>3480.28</v>
      </c>
      <c r="S13" s="15" t="s">
        <v>22</v>
      </c>
      <c r="T13" s="27">
        <v>1</v>
      </c>
      <c r="U13" s="28">
        <v>0</v>
      </c>
      <c r="V13" s="30">
        <v>0</v>
      </c>
      <c r="W13" s="30">
        <f t="shared" si="1"/>
        <v>0</v>
      </c>
      <c r="X13" s="22" t="s">
        <v>41</v>
      </c>
    </row>
    <row r="14" spans="1:24" ht="28.5" customHeight="1" x14ac:dyDescent="0.5">
      <c r="A14" s="12" t="s">
        <v>52</v>
      </c>
      <c r="B14" s="12" t="s">
        <v>53</v>
      </c>
      <c r="C14" s="12"/>
      <c r="D14" s="12"/>
      <c r="E14" s="12"/>
      <c r="F14" s="12"/>
      <c r="G14" s="12" t="s">
        <v>19</v>
      </c>
      <c r="H14" s="12" t="s">
        <v>32</v>
      </c>
      <c r="I14" s="12"/>
      <c r="J14" s="12"/>
      <c r="K14" s="12"/>
      <c r="L14" s="12"/>
      <c r="M14" s="12"/>
      <c r="N14" s="10"/>
      <c r="O14" s="12"/>
      <c r="P14" s="12"/>
      <c r="Q14" s="12"/>
      <c r="R14" s="12"/>
      <c r="S14" s="10"/>
      <c r="T14" s="12">
        <v>1</v>
      </c>
      <c r="U14" s="13">
        <v>1</v>
      </c>
      <c r="V14" s="14">
        <v>2844.38</v>
      </c>
      <c r="W14" s="14">
        <f t="shared" si="1"/>
        <v>2844.38</v>
      </c>
      <c r="X14" s="22" t="s">
        <v>22</v>
      </c>
    </row>
    <row r="15" spans="1:24" ht="28.5" customHeight="1" x14ac:dyDescent="0.5">
      <c r="A15" s="46" t="s">
        <v>54</v>
      </c>
      <c r="B15" s="47"/>
      <c r="C15" s="31"/>
      <c r="D15" s="31"/>
      <c r="E15" s="31"/>
      <c r="F15" s="32">
        <f t="shared" ref="F15:W15" si="3">SUMIF($G:$G,"534E07B83B646F4CB464A44DCFE9ECDE",F:F)</f>
        <v>0</v>
      </c>
      <c r="G15" s="31"/>
      <c r="H15" s="31"/>
      <c r="I15" s="31"/>
      <c r="J15" s="31"/>
      <c r="K15" s="31"/>
      <c r="L15" s="31"/>
      <c r="M15" s="32">
        <f t="shared" si="3"/>
        <v>720</v>
      </c>
      <c r="N15" s="31"/>
      <c r="O15" s="31"/>
      <c r="P15" s="31"/>
      <c r="Q15" s="31"/>
      <c r="R15" s="32">
        <f t="shared" si="3"/>
        <v>9918.7900000000009</v>
      </c>
      <c r="S15" s="31"/>
      <c r="T15" s="31"/>
      <c r="U15" s="31"/>
      <c r="V15" s="31"/>
      <c r="W15" s="32">
        <f t="shared" si="3"/>
        <v>5905.6100000000006</v>
      </c>
      <c r="X15" s="31"/>
    </row>
    <row r="16" spans="1:24" ht="28.5" customHeight="1" x14ac:dyDescent="0.5">
      <c r="A16" s="23" t="s">
        <v>55</v>
      </c>
      <c r="B16" s="23" t="s">
        <v>56</v>
      </c>
      <c r="C16" s="24">
        <v>0</v>
      </c>
      <c r="D16" s="25" t="s">
        <v>22</v>
      </c>
      <c r="E16" s="26">
        <v>0</v>
      </c>
      <c r="F16" s="26">
        <f t="shared" si="0"/>
        <v>0</v>
      </c>
      <c r="G16" s="23" t="s">
        <v>57</v>
      </c>
      <c r="H16" s="23" t="s">
        <v>29</v>
      </c>
      <c r="I16" s="23"/>
      <c r="J16" s="23"/>
      <c r="K16" s="24">
        <v>0</v>
      </c>
      <c r="L16" s="26">
        <v>0</v>
      </c>
      <c r="M16" s="26">
        <f t="shared" si="0"/>
        <v>385</v>
      </c>
      <c r="N16" s="15" t="s">
        <v>22</v>
      </c>
      <c r="O16" s="23"/>
      <c r="P16" s="24">
        <v>0</v>
      </c>
      <c r="Q16" s="26">
        <v>0</v>
      </c>
      <c r="R16" s="26">
        <f t="shared" si="0"/>
        <v>4785.38</v>
      </c>
      <c r="S16" s="15" t="s">
        <v>22</v>
      </c>
      <c r="T16" s="23"/>
      <c r="U16" s="24">
        <v>0</v>
      </c>
      <c r="V16" s="26">
        <v>0</v>
      </c>
      <c r="W16" s="26">
        <f t="shared" si="0"/>
        <v>734.69</v>
      </c>
      <c r="X16" s="22" t="s">
        <v>22</v>
      </c>
    </row>
    <row r="17" spans="1:24" ht="28.5" customHeight="1" x14ac:dyDescent="0.5">
      <c r="A17" s="27" t="s">
        <v>58</v>
      </c>
      <c r="B17" s="27" t="s">
        <v>59</v>
      </c>
      <c r="C17" s="28">
        <v>0</v>
      </c>
      <c r="D17" s="29" t="s">
        <v>35</v>
      </c>
      <c r="E17" s="30">
        <v>0</v>
      </c>
      <c r="F17" s="30">
        <v>0</v>
      </c>
      <c r="G17" s="27" t="s">
        <v>60</v>
      </c>
      <c r="H17" s="27" t="s">
        <v>57</v>
      </c>
      <c r="I17" s="27">
        <v>1</v>
      </c>
      <c r="J17" s="27">
        <v>1</v>
      </c>
      <c r="K17" s="28">
        <v>1</v>
      </c>
      <c r="L17" s="30">
        <v>85</v>
      </c>
      <c r="M17" s="30">
        <f t="shared" si="1"/>
        <v>85</v>
      </c>
      <c r="N17" s="15" t="s">
        <v>22</v>
      </c>
      <c r="O17" s="27">
        <v>1</v>
      </c>
      <c r="P17" s="28">
        <v>0</v>
      </c>
      <c r="Q17" s="30">
        <v>0</v>
      </c>
      <c r="R17" s="30">
        <f t="shared" si="1"/>
        <v>0</v>
      </c>
      <c r="S17" s="15" t="s">
        <v>37</v>
      </c>
      <c r="T17" s="27">
        <v>1</v>
      </c>
      <c r="U17" s="28">
        <v>1</v>
      </c>
      <c r="V17" s="30">
        <v>734.69</v>
      </c>
      <c r="W17" s="30">
        <f t="shared" si="1"/>
        <v>734.69</v>
      </c>
      <c r="X17" s="22" t="s">
        <v>22</v>
      </c>
    </row>
    <row r="18" spans="1:24" ht="28.5" customHeight="1" x14ac:dyDescent="0.5">
      <c r="A18" s="27" t="s">
        <v>61</v>
      </c>
      <c r="B18" s="27" t="s">
        <v>62</v>
      </c>
      <c r="C18" s="28">
        <v>0</v>
      </c>
      <c r="D18" s="29" t="s">
        <v>35</v>
      </c>
      <c r="E18" s="30">
        <v>0</v>
      </c>
      <c r="F18" s="30">
        <v>0</v>
      </c>
      <c r="G18" s="27" t="s">
        <v>63</v>
      </c>
      <c r="H18" s="27" t="s">
        <v>57</v>
      </c>
      <c r="I18" s="27">
        <v>1</v>
      </c>
      <c r="J18" s="27">
        <v>1</v>
      </c>
      <c r="K18" s="28">
        <v>1</v>
      </c>
      <c r="L18" s="30">
        <v>300</v>
      </c>
      <c r="M18" s="30">
        <f t="shared" si="1"/>
        <v>300</v>
      </c>
      <c r="N18" s="15" t="s">
        <v>22</v>
      </c>
      <c r="O18" s="27">
        <v>1</v>
      </c>
      <c r="P18" s="28">
        <v>1</v>
      </c>
      <c r="Q18" s="30">
        <v>4785.38</v>
      </c>
      <c r="R18" s="30">
        <f t="shared" si="1"/>
        <v>4785.38</v>
      </c>
      <c r="S18" s="15" t="s">
        <v>22</v>
      </c>
      <c r="T18" s="27">
        <v>1</v>
      </c>
      <c r="U18" s="28">
        <v>0</v>
      </c>
      <c r="V18" s="30">
        <v>0</v>
      </c>
      <c r="W18" s="30">
        <f t="shared" si="1"/>
        <v>0</v>
      </c>
      <c r="X18" s="22" t="s">
        <v>22</v>
      </c>
    </row>
    <row r="19" spans="1:24" ht="28.5" customHeight="1" x14ac:dyDescent="0.5">
      <c r="A19" s="46" t="s">
        <v>64</v>
      </c>
      <c r="B19" s="47"/>
      <c r="C19" s="31"/>
      <c r="D19" s="31"/>
      <c r="E19" s="31"/>
      <c r="F19" s="32">
        <f t="shared" ref="F19:W19" si="4">SUMIF($G:$G,"B452A6B0B8F392488963DCB37178628B",F:F)</f>
        <v>0</v>
      </c>
      <c r="G19" s="31"/>
      <c r="H19" s="31"/>
      <c r="I19" s="31"/>
      <c r="J19" s="31"/>
      <c r="K19" s="31"/>
      <c r="L19" s="31"/>
      <c r="M19" s="32">
        <f t="shared" si="4"/>
        <v>385</v>
      </c>
      <c r="N19" s="31"/>
      <c r="O19" s="31"/>
      <c r="P19" s="31"/>
      <c r="Q19" s="31"/>
      <c r="R19" s="32">
        <f t="shared" si="4"/>
        <v>4785.38</v>
      </c>
      <c r="S19" s="31"/>
      <c r="T19" s="31"/>
      <c r="U19" s="31"/>
      <c r="V19" s="31"/>
      <c r="W19" s="32">
        <f t="shared" si="4"/>
        <v>734.69</v>
      </c>
      <c r="X19" s="31"/>
    </row>
    <row r="20" spans="1:24" ht="28.5" customHeight="1" x14ac:dyDescent="0.5">
      <c r="A20" s="23" t="s">
        <v>65</v>
      </c>
      <c r="B20" s="23" t="s">
        <v>66</v>
      </c>
      <c r="C20" s="24">
        <v>0</v>
      </c>
      <c r="D20" s="25" t="s">
        <v>22</v>
      </c>
      <c r="E20" s="26">
        <v>0</v>
      </c>
      <c r="F20" s="26">
        <f t="shared" si="0"/>
        <v>0</v>
      </c>
      <c r="G20" s="23" t="s">
        <v>67</v>
      </c>
      <c r="H20" s="23" t="s">
        <v>29</v>
      </c>
      <c r="I20" s="23"/>
      <c r="J20" s="23"/>
      <c r="K20" s="24">
        <v>0</v>
      </c>
      <c r="L20" s="26">
        <v>0</v>
      </c>
      <c r="M20" s="26">
        <f t="shared" si="0"/>
        <v>450</v>
      </c>
      <c r="N20" s="15" t="s">
        <v>22</v>
      </c>
      <c r="O20" s="23"/>
      <c r="P20" s="24">
        <v>0</v>
      </c>
      <c r="Q20" s="26">
        <v>0</v>
      </c>
      <c r="R20" s="26">
        <f t="shared" si="0"/>
        <v>2151.4699999999998</v>
      </c>
      <c r="S20" s="15" t="s">
        <v>22</v>
      </c>
      <c r="T20" s="23"/>
      <c r="U20" s="24">
        <v>0</v>
      </c>
      <c r="V20" s="26">
        <v>0</v>
      </c>
      <c r="W20" s="26">
        <f t="shared" si="0"/>
        <v>2147.96</v>
      </c>
      <c r="X20" s="22" t="s">
        <v>22</v>
      </c>
    </row>
    <row r="21" spans="1:24" ht="28.5" customHeight="1" x14ac:dyDescent="0.5">
      <c r="A21" s="27" t="s">
        <v>68</v>
      </c>
      <c r="B21" s="27" t="s">
        <v>69</v>
      </c>
      <c r="C21" s="28">
        <v>0</v>
      </c>
      <c r="D21" s="29" t="s">
        <v>35</v>
      </c>
      <c r="E21" s="30">
        <v>0</v>
      </c>
      <c r="F21" s="30">
        <v>0</v>
      </c>
      <c r="G21" s="27" t="s">
        <v>70</v>
      </c>
      <c r="H21" s="27" t="s">
        <v>67</v>
      </c>
      <c r="I21" s="27">
        <v>1</v>
      </c>
      <c r="J21" s="27">
        <v>1</v>
      </c>
      <c r="K21" s="28">
        <v>1</v>
      </c>
      <c r="L21" s="30">
        <v>400</v>
      </c>
      <c r="M21" s="30">
        <f t="shared" si="1"/>
        <v>400</v>
      </c>
      <c r="N21" s="15" t="s">
        <v>22</v>
      </c>
      <c r="O21" s="27">
        <v>1</v>
      </c>
      <c r="P21" s="28">
        <v>1</v>
      </c>
      <c r="Q21" s="30">
        <v>2151.4699999999998</v>
      </c>
      <c r="R21" s="30">
        <f t="shared" si="1"/>
        <v>2151.4699999999998</v>
      </c>
      <c r="S21" s="15" t="s">
        <v>22</v>
      </c>
      <c r="T21" s="27">
        <v>1</v>
      </c>
      <c r="U21" s="28">
        <v>1</v>
      </c>
      <c r="V21" s="30">
        <v>1913.27</v>
      </c>
      <c r="W21" s="30">
        <f t="shared" si="1"/>
        <v>1913.27</v>
      </c>
      <c r="X21" s="22" t="s">
        <v>22</v>
      </c>
    </row>
    <row r="22" spans="1:24" ht="28.5" customHeight="1" x14ac:dyDescent="0.5">
      <c r="A22" s="27" t="s">
        <v>71</v>
      </c>
      <c r="B22" s="27" t="s">
        <v>72</v>
      </c>
      <c r="C22" s="28">
        <v>0</v>
      </c>
      <c r="D22" s="29" t="s">
        <v>35</v>
      </c>
      <c r="E22" s="30">
        <v>0</v>
      </c>
      <c r="F22" s="30">
        <v>0</v>
      </c>
      <c r="G22" s="27" t="s">
        <v>73</v>
      </c>
      <c r="H22" s="27" t="s">
        <v>67</v>
      </c>
      <c r="I22" s="27">
        <v>1</v>
      </c>
      <c r="J22" s="27">
        <v>1</v>
      </c>
      <c r="K22" s="28">
        <v>0</v>
      </c>
      <c r="L22" s="30">
        <v>0</v>
      </c>
      <c r="M22" s="30">
        <f t="shared" si="1"/>
        <v>0</v>
      </c>
      <c r="N22" s="15" t="s">
        <v>48</v>
      </c>
      <c r="O22" s="27">
        <v>1</v>
      </c>
      <c r="P22" s="28">
        <v>0</v>
      </c>
      <c r="Q22" s="30">
        <v>0</v>
      </c>
      <c r="R22" s="30">
        <f t="shared" si="1"/>
        <v>0</v>
      </c>
      <c r="S22" s="15" t="s">
        <v>37</v>
      </c>
      <c r="T22" s="27">
        <v>1</v>
      </c>
      <c r="U22" s="28">
        <v>0</v>
      </c>
      <c r="V22" s="30">
        <v>0</v>
      </c>
      <c r="W22" s="30">
        <f t="shared" si="1"/>
        <v>0</v>
      </c>
      <c r="X22" s="22" t="s">
        <v>48</v>
      </c>
    </row>
    <row r="23" spans="1:24" ht="28.5" customHeight="1" x14ac:dyDescent="0.5">
      <c r="A23" s="27" t="s">
        <v>74</v>
      </c>
      <c r="B23" s="27" t="s">
        <v>75</v>
      </c>
      <c r="C23" s="28">
        <v>0</v>
      </c>
      <c r="D23" s="29" t="s">
        <v>35</v>
      </c>
      <c r="E23" s="30">
        <v>0</v>
      </c>
      <c r="F23" s="30">
        <v>0</v>
      </c>
      <c r="G23" s="27" t="s">
        <v>76</v>
      </c>
      <c r="H23" s="27" t="s">
        <v>67</v>
      </c>
      <c r="I23" s="27">
        <v>1</v>
      </c>
      <c r="J23" s="27">
        <v>1</v>
      </c>
      <c r="K23" s="28">
        <v>1</v>
      </c>
      <c r="L23" s="30">
        <v>25</v>
      </c>
      <c r="M23" s="30">
        <f t="shared" si="1"/>
        <v>25</v>
      </c>
      <c r="N23" s="15" t="s">
        <v>22</v>
      </c>
      <c r="O23" s="27">
        <v>1</v>
      </c>
      <c r="P23" s="28">
        <v>0</v>
      </c>
      <c r="Q23" s="30">
        <v>0</v>
      </c>
      <c r="R23" s="30">
        <f t="shared" si="1"/>
        <v>0</v>
      </c>
      <c r="S23" s="15" t="s">
        <v>37</v>
      </c>
      <c r="T23" s="27">
        <v>1</v>
      </c>
      <c r="U23" s="28">
        <v>1</v>
      </c>
      <c r="V23" s="30">
        <v>234.69</v>
      </c>
      <c r="W23" s="30">
        <f t="shared" si="1"/>
        <v>234.69</v>
      </c>
      <c r="X23" s="22" t="s">
        <v>22</v>
      </c>
    </row>
    <row r="24" spans="1:24" ht="28.5" customHeight="1" x14ac:dyDescent="0.5">
      <c r="A24" s="27" t="s">
        <v>77</v>
      </c>
      <c r="B24" s="27" t="s">
        <v>78</v>
      </c>
      <c r="C24" s="28">
        <v>0</v>
      </c>
      <c r="D24" s="29" t="s">
        <v>35</v>
      </c>
      <c r="E24" s="30">
        <v>0</v>
      </c>
      <c r="F24" s="30">
        <v>0</v>
      </c>
      <c r="G24" s="27" t="s">
        <v>79</v>
      </c>
      <c r="H24" s="27" t="s">
        <v>67</v>
      </c>
      <c r="I24" s="27">
        <v>1</v>
      </c>
      <c r="J24" s="27">
        <v>1</v>
      </c>
      <c r="K24" s="28">
        <v>1</v>
      </c>
      <c r="L24" s="30">
        <v>25</v>
      </c>
      <c r="M24" s="30">
        <f t="shared" si="1"/>
        <v>25</v>
      </c>
      <c r="N24" s="15" t="s">
        <v>22</v>
      </c>
      <c r="O24" s="27">
        <v>1</v>
      </c>
      <c r="P24" s="28">
        <v>0</v>
      </c>
      <c r="Q24" s="30">
        <v>0</v>
      </c>
      <c r="R24" s="30">
        <f t="shared" si="1"/>
        <v>0</v>
      </c>
      <c r="S24" s="15" t="s">
        <v>37</v>
      </c>
      <c r="T24" s="27">
        <v>1</v>
      </c>
      <c r="U24" s="28">
        <v>0</v>
      </c>
      <c r="V24" s="30">
        <v>0</v>
      </c>
      <c r="W24" s="30">
        <f t="shared" si="1"/>
        <v>0</v>
      </c>
      <c r="X24" s="22" t="s">
        <v>48</v>
      </c>
    </row>
    <row r="25" spans="1:24" ht="28.5" customHeight="1" x14ac:dyDescent="0.5">
      <c r="A25" s="46" t="s">
        <v>80</v>
      </c>
      <c r="B25" s="47"/>
      <c r="C25" s="31"/>
      <c r="D25" s="31"/>
      <c r="E25" s="31"/>
      <c r="F25" s="32">
        <f t="shared" ref="F25:W25" si="5">SUMIF($G:$G,"8B0CC97BD24AA74F9005CBA4A25420A3",F:F)</f>
        <v>0</v>
      </c>
      <c r="G25" s="31"/>
      <c r="H25" s="31"/>
      <c r="I25" s="31"/>
      <c r="J25" s="31"/>
      <c r="K25" s="31"/>
      <c r="L25" s="31"/>
      <c r="M25" s="32">
        <f t="shared" si="5"/>
        <v>450</v>
      </c>
      <c r="N25" s="31"/>
      <c r="O25" s="31"/>
      <c r="P25" s="31"/>
      <c r="Q25" s="31"/>
      <c r="R25" s="32">
        <f t="shared" si="5"/>
        <v>2151.4699999999998</v>
      </c>
      <c r="S25" s="31"/>
      <c r="T25" s="31"/>
      <c r="U25" s="31"/>
      <c r="V25" s="31"/>
      <c r="W25" s="32">
        <f t="shared" si="5"/>
        <v>2147.96</v>
      </c>
      <c r="X25" s="31"/>
    </row>
    <row r="26" spans="1:24" ht="28.5" customHeight="1" x14ac:dyDescent="0.5">
      <c r="A26" s="44" t="s">
        <v>81</v>
      </c>
      <c r="B26" s="45"/>
      <c r="C26" s="16"/>
      <c r="D26" s="16"/>
      <c r="E26" s="16"/>
      <c r="F26" s="17">
        <f t="shared" ref="F26:W26" si="6">SUMIF($G:$G,"22DD0272E5C93241944EF510B3F0309D",F:F)</f>
        <v>0</v>
      </c>
      <c r="G26" s="16"/>
      <c r="H26" s="16"/>
      <c r="I26" s="16"/>
      <c r="J26" s="16"/>
      <c r="K26" s="16"/>
      <c r="L26" s="16"/>
      <c r="M26" s="17">
        <f t="shared" si="6"/>
        <v>1555</v>
      </c>
      <c r="N26" s="16"/>
      <c r="O26" s="16"/>
      <c r="P26" s="16"/>
      <c r="Q26" s="16"/>
      <c r="R26" s="17">
        <f t="shared" si="6"/>
        <v>16855.640000000003</v>
      </c>
      <c r="S26" s="16"/>
      <c r="T26" s="16"/>
      <c r="U26" s="16"/>
      <c r="V26" s="16"/>
      <c r="W26" s="17">
        <f t="shared" si="6"/>
        <v>8788.260000000002</v>
      </c>
      <c r="X26" s="16"/>
    </row>
    <row r="27" spans="1:24" ht="28.5" customHeight="1" x14ac:dyDescent="0.5">
      <c r="A27" s="8" t="s">
        <v>82</v>
      </c>
      <c r="B27" s="8" t="s">
        <v>83</v>
      </c>
      <c r="C27" s="8"/>
      <c r="D27" s="8"/>
      <c r="E27" s="8"/>
      <c r="F27" s="9">
        <f t="shared" si="0"/>
        <v>3100</v>
      </c>
      <c r="G27" s="8" t="s">
        <v>84</v>
      </c>
      <c r="H27" s="8" t="s">
        <v>19</v>
      </c>
      <c r="I27" s="8"/>
      <c r="J27" s="8"/>
      <c r="K27" s="8"/>
      <c r="L27" s="8"/>
      <c r="M27" s="9">
        <f t="shared" si="0"/>
        <v>1000</v>
      </c>
      <c r="N27" s="10"/>
      <c r="O27" s="8"/>
      <c r="P27" s="8"/>
      <c r="Q27" s="8"/>
      <c r="R27" s="9">
        <f t="shared" si="0"/>
        <v>13562.79</v>
      </c>
      <c r="S27" s="10"/>
      <c r="T27" s="8"/>
      <c r="U27" s="8"/>
      <c r="V27" s="8"/>
      <c r="W27" s="9">
        <f t="shared" si="0"/>
        <v>7353.92</v>
      </c>
      <c r="X27" s="11"/>
    </row>
    <row r="28" spans="1:24" ht="28.5" customHeight="1" x14ac:dyDescent="0.5">
      <c r="A28" s="18" t="s">
        <v>85</v>
      </c>
      <c r="B28" s="18" t="s">
        <v>86</v>
      </c>
      <c r="C28" s="19">
        <v>0</v>
      </c>
      <c r="D28" s="20" t="s">
        <v>22</v>
      </c>
      <c r="E28" s="21">
        <v>0</v>
      </c>
      <c r="F28" s="21">
        <f t="shared" ref="F28:F122" si="7">0+SUMIF($H:$H,$G28,F:F)</f>
        <v>0</v>
      </c>
      <c r="G28" s="18" t="s">
        <v>87</v>
      </c>
      <c r="H28" s="18" t="s">
        <v>84</v>
      </c>
      <c r="I28" s="18">
        <v>1</v>
      </c>
      <c r="J28" s="18">
        <v>1</v>
      </c>
      <c r="K28" s="19">
        <v>0</v>
      </c>
      <c r="L28" s="21">
        <v>0</v>
      </c>
      <c r="M28" s="21">
        <f t="shared" ref="M28:W122" si="8">+SUMIF($H:$H,$G28,M:M)</f>
        <v>0</v>
      </c>
      <c r="N28" s="15" t="s">
        <v>22</v>
      </c>
      <c r="O28" s="18">
        <v>1</v>
      </c>
      <c r="P28" s="19">
        <v>0</v>
      </c>
      <c r="Q28" s="21">
        <v>0</v>
      </c>
      <c r="R28" s="21">
        <f t="shared" si="8"/>
        <v>0</v>
      </c>
      <c r="S28" s="15" t="s">
        <v>22</v>
      </c>
      <c r="T28" s="18">
        <v>1</v>
      </c>
      <c r="U28" s="19">
        <v>0</v>
      </c>
      <c r="V28" s="21">
        <v>0</v>
      </c>
      <c r="W28" s="21">
        <f t="shared" si="8"/>
        <v>0</v>
      </c>
      <c r="X28" s="22" t="s">
        <v>22</v>
      </c>
    </row>
    <row r="29" spans="1:24" ht="28.5" customHeight="1" x14ac:dyDescent="0.5">
      <c r="A29" s="18" t="s">
        <v>88</v>
      </c>
      <c r="B29" s="18" t="s">
        <v>89</v>
      </c>
      <c r="C29" s="19">
        <v>0</v>
      </c>
      <c r="D29" s="20" t="s">
        <v>22</v>
      </c>
      <c r="E29" s="21">
        <v>0</v>
      </c>
      <c r="F29" s="21">
        <f t="shared" si="0"/>
        <v>2100</v>
      </c>
      <c r="G29" s="18" t="s">
        <v>90</v>
      </c>
      <c r="H29" s="18" t="s">
        <v>84</v>
      </c>
      <c r="I29" s="18"/>
      <c r="J29" s="18"/>
      <c r="K29" s="19">
        <v>0</v>
      </c>
      <c r="L29" s="21">
        <v>0</v>
      </c>
      <c r="M29" s="21">
        <f t="shared" si="0"/>
        <v>480</v>
      </c>
      <c r="N29" s="15" t="s">
        <v>22</v>
      </c>
      <c r="O29" s="18"/>
      <c r="P29" s="19">
        <v>0</v>
      </c>
      <c r="Q29" s="21">
        <v>0</v>
      </c>
      <c r="R29" s="21">
        <f t="shared" si="0"/>
        <v>12002.45</v>
      </c>
      <c r="S29" s="15" t="s">
        <v>22</v>
      </c>
      <c r="T29" s="18"/>
      <c r="U29" s="19">
        <v>0</v>
      </c>
      <c r="V29" s="21">
        <v>0</v>
      </c>
      <c r="W29" s="21">
        <f t="shared" si="0"/>
        <v>5340</v>
      </c>
      <c r="X29" s="22" t="s">
        <v>22</v>
      </c>
    </row>
    <row r="30" spans="1:24" ht="28.5" customHeight="1" x14ac:dyDescent="0.5">
      <c r="A30" s="27" t="s">
        <v>91</v>
      </c>
      <c r="B30" s="27" t="s">
        <v>92</v>
      </c>
      <c r="C30" s="28">
        <v>1</v>
      </c>
      <c r="D30" s="29" t="s">
        <v>35</v>
      </c>
      <c r="E30" s="30">
        <v>600</v>
      </c>
      <c r="F30" s="30">
        <f t="shared" ref="F30:F128" si="9">ROUND((C30*E30),2)</f>
        <v>600</v>
      </c>
      <c r="G30" s="27" t="s">
        <v>93</v>
      </c>
      <c r="H30" s="27" t="s">
        <v>90</v>
      </c>
      <c r="I30" s="27">
        <v>1</v>
      </c>
      <c r="J30" s="27">
        <v>1</v>
      </c>
      <c r="K30" s="28">
        <v>1</v>
      </c>
      <c r="L30" s="30">
        <v>180</v>
      </c>
      <c r="M30" s="30">
        <f t="shared" si="1"/>
        <v>180</v>
      </c>
      <c r="N30" s="15" t="s">
        <v>22</v>
      </c>
      <c r="O30" s="27">
        <v>1</v>
      </c>
      <c r="P30" s="28">
        <v>1</v>
      </c>
      <c r="Q30" s="30">
        <v>3755.03</v>
      </c>
      <c r="R30" s="30">
        <f t="shared" si="1"/>
        <v>3755.03</v>
      </c>
      <c r="S30" s="15" t="s">
        <v>22</v>
      </c>
      <c r="T30" s="27">
        <v>1</v>
      </c>
      <c r="U30" s="28">
        <v>0</v>
      </c>
      <c r="V30" s="30">
        <v>0</v>
      </c>
      <c r="W30" s="30">
        <f t="shared" si="1"/>
        <v>0</v>
      </c>
      <c r="X30" s="22" t="s">
        <v>41</v>
      </c>
    </row>
    <row r="31" spans="1:24" ht="28.5" customHeight="1" x14ac:dyDescent="0.5">
      <c r="A31" s="27" t="s">
        <v>94</v>
      </c>
      <c r="B31" s="27" t="s">
        <v>95</v>
      </c>
      <c r="C31" s="28">
        <v>1</v>
      </c>
      <c r="D31" s="29" t="s">
        <v>35</v>
      </c>
      <c r="E31" s="30">
        <v>1500</v>
      </c>
      <c r="F31" s="30">
        <f t="shared" si="9"/>
        <v>1500</v>
      </c>
      <c r="G31" s="27" t="s">
        <v>96</v>
      </c>
      <c r="H31" s="27" t="s">
        <v>90</v>
      </c>
      <c r="I31" s="27">
        <v>1</v>
      </c>
      <c r="J31" s="27">
        <v>1</v>
      </c>
      <c r="K31" s="28">
        <v>1</v>
      </c>
      <c r="L31" s="30">
        <v>300</v>
      </c>
      <c r="M31" s="30">
        <f t="shared" si="1"/>
        <v>300</v>
      </c>
      <c r="N31" s="15" t="s">
        <v>22</v>
      </c>
      <c r="O31" s="27">
        <v>1</v>
      </c>
      <c r="P31" s="28">
        <v>1</v>
      </c>
      <c r="Q31" s="30">
        <v>8247.42</v>
      </c>
      <c r="R31" s="30">
        <f t="shared" si="1"/>
        <v>8247.42</v>
      </c>
      <c r="S31" s="15" t="s">
        <v>22</v>
      </c>
      <c r="T31" s="27">
        <v>1</v>
      </c>
      <c r="U31" s="28">
        <v>50</v>
      </c>
      <c r="V31" s="30">
        <v>106.8</v>
      </c>
      <c r="W31" s="30">
        <f t="shared" si="1"/>
        <v>5340</v>
      </c>
      <c r="X31" s="22" t="s">
        <v>97</v>
      </c>
    </row>
    <row r="32" spans="1:24" ht="28.5" customHeight="1" x14ac:dyDescent="0.5">
      <c r="A32" s="18" t="s">
        <v>98</v>
      </c>
      <c r="B32" s="18" t="s">
        <v>99</v>
      </c>
      <c r="C32" s="19">
        <v>0</v>
      </c>
      <c r="D32" s="20" t="s">
        <v>22</v>
      </c>
      <c r="E32" s="21">
        <v>0</v>
      </c>
      <c r="F32" s="21">
        <f t="shared" si="0"/>
        <v>1000</v>
      </c>
      <c r="G32" s="18" t="s">
        <v>100</v>
      </c>
      <c r="H32" s="18" t="s">
        <v>84</v>
      </c>
      <c r="I32" s="18"/>
      <c r="J32" s="18"/>
      <c r="K32" s="19">
        <v>0</v>
      </c>
      <c r="L32" s="21">
        <v>0</v>
      </c>
      <c r="M32" s="21">
        <f t="shared" si="0"/>
        <v>520</v>
      </c>
      <c r="N32" s="15" t="s">
        <v>22</v>
      </c>
      <c r="O32" s="18"/>
      <c r="P32" s="19">
        <v>0</v>
      </c>
      <c r="Q32" s="21">
        <v>0</v>
      </c>
      <c r="R32" s="21">
        <f t="shared" si="0"/>
        <v>1560.34</v>
      </c>
      <c r="S32" s="15" t="s">
        <v>22</v>
      </c>
      <c r="T32" s="18"/>
      <c r="U32" s="19">
        <v>0</v>
      </c>
      <c r="V32" s="21">
        <v>0</v>
      </c>
      <c r="W32" s="21">
        <f t="shared" si="0"/>
        <v>2013.92</v>
      </c>
      <c r="X32" s="22" t="s">
        <v>22</v>
      </c>
    </row>
    <row r="33" spans="1:24" ht="28.5" customHeight="1" x14ac:dyDescent="0.5">
      <c r="A33" s="27" t="s">
        <v>101</v>
      </c>
      <c r="B33" s="27" t="s">
        <v>102</v>
      </c>
      <c r="C33" s="28">
        <v>2</v>
      </c>
      <c r="D33" s="29" t="s">
        <v>8</v>
      </c>
      <c r="E33" s="30">
        <v>500</v>
      </c>
      <c r="F33" s="30">
        <f t="shared" si="9"/>
        <v>1000</v>
      </c>
      <c r="G33" s="27" t="s">
        <v>103</v>
      </c>
      <c r="H33" s="27" t="s">
        <v>100</v>
      </c>
      <c r="I33" s="27">
        <v>1</v>
      </c>
      <c r="J33" s="27">
        <v>1</v>
      </c>
      <c r="K33" s="28">
        <v>2</v>
      </c>
      <c r="L33" s="30">
        <v>260</v>
      </c>
      <c r="M33" s="30">
        <f t="shared" si="1"/>
        <v>520</v>
      </c>
      <c r="N33" s="15" t="s">
        <v>22</v>
      </c>
      <c r="O33" s="27">
        <v>1</v>
      </c>
      <c r="P33" s="28">
        <v>2</v>
      </c>
      <c r="Q33" s="30">
        <v>780.17</v>
      </c>
      <c r="R33" s="30">
        <f t="shared" si="1"/>
        <v>1560.34</v>
      </c>
      <c r="S33" s="15" t="s">
        <v>22</v>
      </c>
      <c r="T33" s="27">
        <v>1</v>
      </c>
      <c r="U33" s="28">
        <v>2</v>
      </c>
      <c r="V33" s="30">
        <v>1006.96</v>
      </c>
      <c r="W33" s="30">
        <f t="shared" si="1"/>
        <v>2013.92</v>
      </c>
      <c r="X33" s="22" t="s">
        <v>22</v>
      </c>
    </row>
    <row r="34" spans="1:24" ht="28.5" customHeight="1" x14ac:dyDescent="0.5">
      <c r="A34" s="44" t="s">
        <v>104</v>
      </c>
      <c r="B34" s="45"/>
      <c r="C34" s="16"/>
      <c r="D34" s="16"/>
      <c r="E34" s="16"/>
      <c r="F34" s="17">
        <f t="shared" ref="F34:W34" si="10">SUMIF($G:$G,"377968F5686B61428FB7D315AE10FB80",F:F)</f>
        <v>3100</v>
      </c>
      <c r="G34" s="16"/>
      <c r="H34" s="16"/>
      <c r="I34" s="16"/>
      <c r="J34" s="16"/>
      <c r="K34" s="16"/>
      <c r="L34" s="16"/>
      <c r="M34" s="17">
        <f t="shared" si="10"/>
        <v>1000</v>
      </c>
      <c r="N34" s="16"/>
      <c r="O34" s="16"/>
      <c r="P34" s="16"/>
      <c r="Q34" s="16"/>
      <c r="R34" s="17">
        <f t="shared" si="10"/>
        <v>13562.79</v>
      </c>
      <c r="S34" s="16"/>
      <c r="T34" s="16"/>
      <c r="U34" s="16"/>
      <c r="V34" s="16"/>
      <c r="W34" s="17">
        <f t="shared" si="10"/>
        <v>7353.92</v>
      </c>
      <c r="X34" s="16"/>
    </row>
    <row r="35" spans="1:24" ht="28.5" customHeight="1" x14ac:dyDescent="0.5">
      <c r="A35" s="8" t="s">
        <v>105</v>
      </c>
      <c r="B35" s="8" t="s">
        <v>106</v>
      </c>
      <c r="C35" s="8"/>
      <c r="D35" s="8"/>
      <c r="E35" s="8"/>
      <c r="F35" s="9">
        <f t="shared" si="0"/>
        <v>23200</v>
      </c>
      <c r="G35" s="8" t="s">
        <v>107</v>
      </c>
      <c r="H35" s="8" t="s">
        <v>19</v>
      </c>
      <c r="I35" s="8"/>
      <c r="J35" s="8"/>
      <c r="K35" s="8"/>
      <c r="L35" s="8"/>
      <c r="M35" s="9">
        <f t="shared" si="0"/>
        <v>3368.87</v>
      </c>
      <c r="N35" s="10"/>
      <c r="O35" s="8"/>
      <c r="P35" s="8"/>
      <c r="Q35" s="8"/>
      <c r="R35" s="9">
        <f t="shared" si="0"/>
        <v>42700.24</v>
      </c>
      <c r="S35" s="10"/>
      <c r="T35" s="8"/>
      <c r="U35" s="8"/>
      <c r="V35" s="8"/>
      <c r="W35" s="9">
        <f t="shared" si="0"/>
        <v>7789.06</v>
      </c>
      <c r="X35" s="11"/>
    </row>
    <row r="36" spans="1:24" ht="28.5" customHeight="1" x14ac:dyDescent="0.5">
      <c r="A36" s="18" t="s">
        <v>108</v>
      </c>
      <c r="B36" s="18" t="s">
        <v>86</v>
      </c>
      <c r="C36" s="19">
        <v>0</v>
      </c>
      <c r="D36" s="20" t="s">
        <v>22</v>
      </c>
      <c r="E36" s="21">
        <v>0</v>
      </c>
      <c r="F36" s="21">
        <f t="shared" si="7"/>
        <v>0</v>
      </c>
      <c r="G36" s="18" t="s">
        <v>109</v>
      </c>
      <c r="H36" s="18" t="s">
        <v>107</v>
      </c>
      <c r="I36" s="18">
        <v>1</v>
      </c>
      <c r="J36" s="18">
        <v>1</v>
      </c>
      <c r="K36" s="19">
        <v>0</v>
      </c>
      <c r="L36" s="21">
        <v>0</v>
      </c>
      <c r="M36" s="21">
        <f t="shared" si="8"/>
        <v>0</v>
      </c>
      <c r="N36" s="15" t="s">
        <v>22</v>
      </c>
      <c r="O36" s="18">
        <v>1</v>
      </c>
      <c r="P36" s="19">
        <v>0</v>
      </c>
      <c r="Q36" s="21">
        <v>0</v>
      </c>
      <c r="R36" s="21">
        <f t="shared" si="8"/>
        <v>0</v>
      </c>
      <c r="S36" s="15" t="s">
        <v>22</v>
      </c>
      <c r="T36" s="18">
        <v>1</v>
      </c>
      <c r="U36" s="19">
        <v>0</v>
      </c>
      <c r="V36" s="21">
        <v>0</v>
      </c>
      <c r="W36" s="21">
        <f t="shared" si="8"/>
        <v>0</v>
      </c>
      <c r="X36" s="22" t="s">
        <v>22</v>
      </c>
    </row>
    <row r="37" spans="1:24" ht="28.5" customHeight="1" x14ac:dyDescent="0.5">
      <c r="A37" s="18" t="s">
        <v>110</v>
      </c>
      <c r="B37" s="18" t="s">
        <v>111</v>
      </c>
      <c r="C37" s="19">
        <v>0</v>
      </c>
      <c r="D37" s="20" t="s">
        <v>22</v>
      </c>
      <c r="E37" s="21">
        <v>0</v>
      </c>
      <c r="F37" s="21">
        <f t="shared" si="0"/>
        <v>21700</v>
      </c>
      <c r="G37" s="18" t="s">
        <v>112</v>
      </c>
      <c r="H37" s="18" t="s">
        <v>107</v>
      </c>
      <c r="I37" s="18"/>
      <c r="J37" s="18"/>
      <c r="K37" s="19">
        <v>0</v>
      </c>
      <c r="L37" s="21">
        <v>0</v>
      </c>
      <c r="M37" s="21">
        <f t="shared" si="0"/>
        <v>3004.87</v>
      </c>
      <c r="N37" s="15" t="s">
        <v>22</v>
      </c>
      <c r="O37" s="18"/>
      <c r="P37" s="19">
        <v>0</v>
      </c>
      <c r="Q37" s="21">
        <v>0</v>
      </c>
      <c r="R37" s="21">
        <f t="shared" si="0"/>
        <v>42265.2</v>
      </c>
      <c r="S37" s="15" t="s">
        <v>22</v>
      </c>
      <c r="T37" s="18"/>
      <c r="U37" s="19">
        <v>0</v>
      </c>
      <c r="V37" s="21">
        <v>0</v>
      </c>
      <c r="W37" s="21">
        <f t="shared" si="0"/>
        <v>0</v>
      </c>
      <c r="X37" s="22" t="s">
        <v>22</v>
      </c>
    </row>
    <row r="38" spans="1:24" ht="28.5" customHeight="1" x14ac:dyDescent="0.5">
      <c r="A38" s="23" t="s">
        <v>113</v>
      </c>
      <c r="B38" s="23" t="s">
        <v>31</v>
      </c>
      <c r="C38" s="24">
        <v>0</v>
      </c>
      <c r="D38" s="25" t="s">
        <v>22</v>
      </c>
      <c r="E38" s="26">
        <v>0</v>
      </c>
      <c r="F38" s="26">
        <f t="shared" si="0"/>
        <v>12000</v>
      </c>
      <c r="G38" s="23" t="s">
        <v>114</v>
      </c>
      <c r="H38" s="23" t="s">
        <v>112</v>
      </c>
      <c r="I38" s="23"/>
      <c r="J38" s="23"/>
      <c r="K38" s="24">
        <v>0</v>
      </c>
      <c r="L38" s="26">
        <v>0</v>
      </c>
      <c r="M38" s="26">
        <f t="shared" si="0"/>
        <v>0</v>
      </c>
      <c r="N38" s="15" t="s">
        <v>22</v>
      </c>
      <c r="O38" s="23"/>
      <c r="P38" s="24">
        <v>0</v>
      </c>
      <c r="Q38" s="26">
        <v>0</v>
      </c>
      <c r="R38" s="26">
        <f t="shared" si="0"/>
        <v>19360.29</v>
      </c>
      <c r="S38" s="15" t="s">
        <v>22</v>
      </c>
      <c r="T38" s="23"/>
      <c r="U38" s="24">
        <v>0</v>
      </c>
      <c r="V38" s="26">
        <v>0</v>
      </c>
      <c r="W38" s="26">
        <f t="shared" si="0"/>
        <v>0</v>
      </c>
      <c r="X38" s="22" t="s">
        <v>22</v>
      </c>
    </row>
    <row r="39" spans="1:24" ht="28.5" customHeight="1" x14ac:dyDescent="0.5">
      <c r="A39" s="27" t="s">
        <v>115</v>
      </c>
      <c r="B39" s="27" t="s">
        <v>116</v>
      </c>
      <c r="C39" s="28">
        <v>1</v>
      </c>
      <c r="D39" s="29" t="s">
        <v>117</v>
      </c>
      <c r="E39" s="30">
        <v>4500</v>
      </c>
      <c r="F39" s="30">
        <f t="shared" si="9"/>
        <v>4500</v>
      </c>
      <c r="G39" s="27" t="s">
        <v>118</v>
      </c>
      <c r="H39" s="27" t="s">
        <v>114</v>
      </c>
      <c r="I39" s="27">
        <v>1</v>
      </c>
      <c r="J39" s="27">
        <v>1</v>
      </c>
      <c r="K39" s="28">
        <v>0</v>
      </c>
      <c r="L39" s="30">
        <v>0</v>
      </c>
      <c r="M39" s="30">
        <f t="shared" si="1"/>
        <v>0</v>
      </c>
      <c r="N39" s="15" t="s">
        <v>48</v>
      </c>
      <c r="O39" s="27">
        <v>1</v>
      </c>
      <c r="P39" s="28">
        <v>1</v>
      </c>
      <c r="Q39" s="30">
        <v>7600.24</v>
      </c>
      <c r="R39" s="30">
        <f t="shared" si="1"/>
        <v>7600.24</v>
      </c>
      <c r="S39" s="15" t="s">
        <v>22</v>
      </c>
      <c r="T39" s="27">
        <v>1</v>
      </c>
      <c r="U39" s="28">
        <v>0</v>
      </c>
      <c r="V39" s="30">
        <v>0</v>
      </c>
      <c r="W39" s="30">
        <f t="shared" si="1"/>
        <v>0</v>
      </c>
      <c r="X39" s="22" t="s">
        <v>41</v>
      </c>
    </row>
    <row r="40" spans="1:24" ht="28.5" customHeight="1" x14ac:dyDescent="0.5">
      <c r="A40" s="27" t="s">
        <v>119</v>
      </c>
      <c r="B40" s="27" t="s">
        <v>120</v>
      </c>
      <c r="C40" s="28">
        <v>1</v>
      </c>
      <c r="D40" s="29" t="s">
        <v>35</v>
      </c>
      <c r="E40" s="30">
        <v>500</v>
      </c>
      <c r="F40" s="30">
        <f t="shared" si="9"/>
        <v>500</v>
      </c>
      <c r="G40" s="27" t="s">
        <v>121</v>
      </c>
      <c r="H40" s="27" t="s">
        <v>114</v>
      </c>
      <c r="I40" s="27">
        <v>1</v>
      </c>
      <c r="J40" s="27">
        <v>1</v>
      </c>
      <c r="K40" s="28">
        <v>0</v>
      </c>
      <c r="L40" s="30">
        <v>0</v>
      </c>
      <c r="M40" s="30">
        <f t="shared" si="1"/>
        <v>0</v>
      </c>
      <c r="N40" s="15" t="s">
        <v>48</v>
      </c>
      <c r="O40" s="27">
        <v>1</v>
      </c>
      <c r="P40" s="28">
        <v>1</v>
      </c>
      <c r="Q40" s="30">
        <v>3138.03</v>
      </c>
      <c r="R40" s="30">
        <f t="shared" si="1"/>
        <v>3138.03</v>
      </c>
      <c r="S40" s="15" t="s">
        <v>22</v>
      </c>
      <c r="T40" s="27">
        <v>1</v>
      </c>
      <c r="U40" s="28">
        <v>0</v>
      </c>
      <c r="V40" s="30">
        <v>0</v>
      </c>
      <c r="W40" s="30">
        <f t="shared" si="1"/>
        <v>0</v>
      </c>
      <c r="X40" s="22" t="s">
        <v>41</v>
      </c>
    </row>
    <row r="41" spans="1:24" ht="28.5" customHeight="1" x14ac:dyDescent="0.5">
      <c r="A41" s="27" t="s">
        <v>122</v>
      </c>
      <c r="B41" s="27" t="s">
        <v>123</v>
      </c>
      <c r="C41" s="28">
        <v>1</v>
      </c>
      <c r="D41" s="29" t="s">
        <v>35</v>
      </c>
      <c r="E41" s="30">
        <v>4000</v>
      </c>
      <c r="F41" s="30">
        <f t="shared" si="9"/>
        <v>4000</v>
      </c>
      <c r="G41" s="27" t="s">
        <v>124</v>
      </c>
      <c r="H41" s="27" t="s">
        <v>114</v>
      </c>
      <c r="I41" s="27">
        <v>1</v>
      </c>
      <c r="J41" s="27">
        <v>1</v>
      </c>
      <c r="K41" s="28">
        <v>0</v>
      </c>
      <c r="L41" s="30">
        <v>0</v>
      </c>
      <c r="M41" s="30">
        <f t="shared" si="1"/>
        <v>0</v>
      </c>
      <c r="N41" s="15" t="s">
        <v>48</v>
      </c>
      <c r="O41" s="27">
        <v>1</v>
      </c>
      <c r="P41" s="28">
        <v>1</v>
      </c>
      <c r="Q41" s="30">
        <v>5574.11</v>
      </c>
      <c r="R41" s="30">
        <f t="shared" si="1"/>
        <v>5574.11</v>
      </c>
      <c r="S41" s="15" t="s">
        <v>22</v>
      </c>
      <c r="T41" s="27">
        <v>1</v>
      </c>
      <c r="U41" s="28">
        <v>0</v>
      </c>
      <c r="V41" s="30">
        <v>0</v>
      </c>
      <c r="W41" s="30">
        <f t="shared" si="1"/>
        <v>0</v>
      </c>
      <c r="X41" s="22" t="s">
        <v>41</v>
      </c>
    </row>
    <row r="42" spans="1:24" ht="28.5" customHeight="1" x14ac:dyDescent="0.5">
      <c r="A42" s="27" t="s">
        <v>125</v>
      </c>
      <c r="B42" s="27" t="s">
        <v>126</v>
      </c>
      <c r="C42" s="28">
        <v>1</v>
      </c>
      <c r="D42" s="29" t="s">
        <v>35</v>
      </c>
      <c r="E42" s="30">
        <v>3000</v>
      </c>
      <c r="F42" s="30">
        <f t="shared" si="9"/>
        <v>3000</v>
      </c>
      <c r="G42" s="27" t="s">
        <v>127</v>
      </c>
      <c r="H42" s="27" t="s">
        <v>114</v>
      </c>
      <c r="I42" s="27">
        <v>1</v>
      </c>
      <c r="J42" s="27">
        <v>1</v>
      </c>
      <c r="K42" s="28">
        <v>0</v>
      </c>
      <c r="L42" s="30">
        <v>0</v>
      </c>
      <c r="M42" s="30">
        <f t="shared" si="1"/>
        <v>0</v>
      </c>
      <c r="N42" s="15" t="s">
        <v>48</v>
      </c>
      <c r="O42" s="27">
        <v>1</v>
      </c>
      <c r="P42" s="28">
        <v>1</v>
      </c>
      <c r="Q42" s="30">
        <v>3047.91</v>
      </c>
      <c r="R42" s="30">
        <f t="shared" si="1"/>
        <v>3047.91</v>
      </c>
      <c r="S42" s="15" t="s">
        <v>22</v>
      </c>
      <c r="T42" s="27">
        <v>1</v>
      </c>
      <c r="U42" s="28">
        <v>0</v>
      </c>
      <c r="V42" s="30">
        <v>0</v>
      </c>
      <c r="W42" s="30">
        <f t="shared" si="1"/>
        <v>0</v>
      </c>
      <c r="X42" s="22" t="s">
        <v>41</v>
      </c>
    </row>
    <row r="43" spans="1:24" ht="28.5" customHeight="1" x14ac:dyDescent="0.5">
      <c r="A43" s="46" t="s">
        <v>54</v>
      </c>
      <c r="B43" s="47"/>
      <c r="C43" s="31"/>
      <c r="D43" s="31"/>
      <c r="E43" s="31"/>
      <c r="F43" s="32">
        <f t="shared" ref="F43:W43" si="11">SUMIF($G:$G,"A84C74FADA5AC042AE36AD8F80CAFDF1",F:F)</f>
        <v>12000</v>
      </c>
      <c r="G43" s="31"/>
      <c r="H43" s="31"/>
      <c r="I43" s="31"/>
      <c r="J43" s="31"/>
      <c r="K43" s="31"/>
      <c r="L43" s="31"/>
      <c r="M43" s="32">
        <f t="shared" si="11"/>
        <v>0</v>
      </c>
      <c r="N43" s="31"/>
      <c r="O43" s="31"/>
      <c r="P43" s="31"/>
      <c r="Q43" s="31"/>
      <c r="R43" s="32">
        <f t="shared" si="11"/>
        <v>19360.29</v>
      </c>
      <c r="S43" s="31"/>
      <c r="T43" s="31"/>
      <c r="U43" s="31"/>
      <c r="V43" s="31"/>
      <c r="W43" s="32">
        <f t="shared" si="11"/>
        <v>0</v>
      </c>
      <c r="X43" s="31"/>
    </row>
    <row r="44" spans="1:24" ht="28.5" customHeight="1" x14ac:dyDescent="0.5">
      <c r="A44" s="23" t="s">
        <v>128</v>
      </c>
      <c r="B44" s="23" t="s">
        <v>66</v>
      </c>
      <c r="C44" s="24">
        <v>0</v>
      </c>
      <c r="D44" s="25" t="s">
        <v>22</v>
      </c>
      <c r="E44" s="26">
        <v>0</v>
      </c>
      <c r="F44" s="26">
        <f t="shared" si="0"/>
        <v>1200</v>
      </c>
      <c r="G44" s="23" t="s">
        <v>129</v>
      </c>
      <c r="H44" s="23" t="s">
        <v>112</v>
      </c>
      <c r="I44" s="23"/>
      <c r="J44" s="23"/>
      <c r="K44" s="24">
        <v>0</v>
      </c>
      <c r="L44" s="26">
        <v>0</v>
      </c>
      <c r="M44" s="26">
        <f t="shared" si="0"/>
        <v>0</v>
      </c>
      <c r="N44" s="15" t="s">
        <v>22</v>
      </c>
      <c r="O44" s="23"/>
      <c r="P44" s="24">
        <v>0</v>
      </c>
      <c r="Q44" s="26">
        <v>0</v>
      </c>
      <c r="R44" s="26">
        <f t="shared" si="0"/>
        <v>3611.98</v>
      </c>
      <c r="S44" s="15" t="s">
        <v>22</v>
      </c>
      <c r="T44" s="23"/>
      <c r="U44" s="24">
        <v>0</v>
      </c>
      <c r="V44" s="26">
        <v>0</v>
      </c>
      <c r="W44" s="26">
        <f t="shared" si="0"/>
        <v>0</v>
      </c>
      <c r="X44" s="22" t="s">
        <v>22</v>
      </c>
    </row>
    <row r="45" spans="1:24" ht="28.5" customHeight="1" x14ac:dyDescent="0.5">
      <c r="A45" s="27" t="s">
        <v>130</v>
      </c>
      <c r="B45" s="27" t="s">
        <v>131</v>
      </c>
      <c r="C45" s="28">
        <v>1</v>
      </c>
      <c r="D45" s="29" t="s">
        <v>35</v>
      </c>
      <c r="E45" s="30">
        <v>700</v>
      </c>
      <c r="F45" s="30">
        <f t="shared" si="9"/>
        <v>700</v>
      </c>
      <c r="G45" s="27" t="s">
        <v>132</v>
      </c>
      <c r="H45" s="27" t="s">
        <v>129</v>
      </c>
      <c r="I45" s="27">
        <v>1</v>
      </c>
      <c r="J45" s="27">
        <v>1</v>
      </c>
      <c r="K45" s="28">
        <v>0</v>
      </c>
      <c r="L45" s="30">
        <v>0</v>
      </c>
      <c r="M45" s="30">
        <f t="shared" si="1"/>
        <v>0</v>
      </c>
      <c r="N45" s="15" t="s">
        <v>48</v>
      </c>
      <c r="O45" s="27">
        <v>1</v>
      </c>
      <c r="P45" s="28">
        <v>1</v>
      </c>
      <c r="Q45" s="30">
        <v>477.48</v>
      </c>
      <c r="R45" s="30">
        <f t="shared" si="1"/>
        <v>477.48</v>
      </c>
      <c r="S45" s="15" t="s">
        <v>22</v>
      </c>
      <c r="T45" s="27">
        <v>1</v>
      </c>
      <c r="U45" s="28">
        <v>0</v>
      </c>
      <c r="V45" s="30">
        <v>0</v>
      </c>
      <c r="W45" s="30">
        <f t="shared" si="1"/>
        <v>0</v>
      </c>
      <c r="X45" s="22" t="s">
        <v>41</v>
      </c>
    </row>
    <row r="46" spans="1:24" ht="28.5" customHeight="1" x14ac:dyDescent="0.5">
      <c r="A46" s="27" t="s">
        <v>133</v>
      </c>
      <c r="B46" s="27" t="s">
        <v>134</v>
      </c>
      <c r="C46" s="28">
        <v>1</v>
      </c>
      <c r="D46" s="29" t="s">
        <v>35</v>
      </c>
      <c r="E46" s="30">
        <v>500</v>
      </c>
      <c r="F46" s="30">
        <f t="shared" si="9"/>
        <v>500</v>
      </c>
      <c r="G46" s="27" t="s">
        <v>135</v>
      </c>
      <c r="H46" s="27" t="s">
        <v>129</v>
      </c>
      <c r="I46" s="27">
        <v>1</v>
      </c>
      <c r="J46" s="27">
        <v>1</v>
      </c>
      <c r="K46" s="28">
        <v>0</v>
      </c>
      <c r="L46" s="30">
        <v>0</v>
      </c>
      <c r="M46" s="30">
        <f t="shared" si="1"/>
        <v>0</v>
      </c>
      <c r="N46" s="15" t="s">
        <v>48</v>
      </c>
      <c r="O46" s="27">
        <v>1</v>
      </c>
      <c r="P46" s="28">
        <v>1</v>
      </c>
      <c r="Q46" s="30">
        <v>3134.5</v>
      </c>
      <c r="R46" s="30">
        <f t="shared" si="1"/>
        <v>3134.5</v>
      </c>
      <c r="S46" s="15" t="s">
        <v>22</v>
      </c>
      <c r="T46" s="27">
        <v>1</v>
      </c>
      <c r="U46" s="28">
        <v>0</v>
      </c>
      <c r="V46" s="30">
        <v>0</v>
      </c>
      <c r="W46" s="30">
        <f t="shared" si="1"/>
        <v>0</v>
      </c>
      <c r="X46" s="22" t="s">
        <v>41</v>
      </c>
    </row>
    <row r="47" spans="1:24" ht="28.5" customHeight="1" x14ac:dyDescent="0.5">
      <c r="A47" s="46" t="s">
        <v>80</v>
      </c>
      <c r="B47" s="47"/>
      <c r="C47" s="31"/>
      <c r="D47" s="31"/>
      <c r="E47" s="31"/>
      <c r="F47" s="32">
        <f t="shared" ref="F47:W47" si="12">SUMIF($G:$G,"97651A8CB1EB194E8B86683AA2CA3B3D",F:F)</f>
        <v>1200</v>
      </c>
      <c r="G47" s="31"/>
      <c r="H47" s="31"/>
      <c r="I47" s="31"/>
      <c r="J47" s="31"/>
      <c r="K47" s="31"/>
      <c r="L47" s="31"/>
      <c r="M47" s="32">
        <f t="shared" si="12"/>
        <v>0</v>
      </c>
      <c r="N47" s="31"/>
      <c r="O47" s="31"/>
      <c r="P47" s="31"/>
      <c r="Q47" s="31"/>
      <c r="R47" s="32">
        <f t="shared" si="12"/>
        <v>3611.98</v>
      </c>
      <c r="S47" s="31"/>
      <c r="T47" s="31"/>
      <c r="U47" s="31"/>
      <c r="V47" s="31"/>
      <c r="W47" s="32">
        <f t="shared" si="12"/>
        <v>0</v>
      </c>
      <c r="X47" s="31"/>
    </row>
    <row r="48" spans="1:24" ht="28.5" customHeight="1" x14ac:dyDescent="0.5">
      <c r="A48" s="23" t="s">
        <v>136</v>
      </c>
      <c r="B48" s="23" t="s">
        <v>137</v>
      </c>
      <c r="C48" s="24">
        <v>0</v>
      </c>
      <c r="D48" s="25" t="s">
        <v>22</v>
      </c>
      <c r="E48" s="26">
        <v>0</v>
      </c>
      <c r="F48" s="26">
        <f t="shared" si="0"/>
        <v>0</v>
      </c>
      <c r="G48" s="23" t="s">
        <v>138</v>
      </c>
      <c r="H48" s="23" t="s">
        <v>112</v>
      </c>
      <c r="I48" s="23"/>
      <c r="J48" s="23"/>
      <c r="K48" s="24">
        <v>0</v>
      </c>
      <c r="L48" s="26">
        <v>0</v>
      </c>
      <c r="M48" s="26">
        <f t="shared" si="0"/>
        <v>0</v>
      </c>
      <c r="N48" s="15" t="s">
        <v>22</v>
      </c>
      <c r="O48" s="23"/>
      <c r="P48" s="24">
        <v>0</v>
      </c>
      <c r="Q48" s="26">
        <v>0</v>
      </c>
      <c r="R48" s="26">
        <f t="shared" si="0"/>
        <v>0</v>
      </c>
      <c r="S48" s="15" t="s">
        <v>22</v>
      </c>
      <c r="T48" s="23"/>
      <c r="U48" s="24">
        <v>0</v>
      </c>
      <c r="V48" s="26">
        <v>0</v>
      </c>
      <c r="W48" s="26">
        <f t="shared" si="0"/>
        <v>0</v>
      </c>
      <c r="X48" s="22" t="s">
        <v>22</v>
      </c>
    </row>
    <row r="49" spans="1:24" ht="28.5" customHeight="1" x14ac:dyDescent="0.5">
      <c r="A49" s="27" t="s">
        <v>139</v>
      </c>
      <c r="B49" s="27" t="s">
        <v>140</v>
      </c>
      <c r="C49" s="28">
        <v>0</v>
      </c>
      <c r="D49" s="29" t="s">
        <v>141</v>
      </c>
      <c r="E49" s="30">
        <v>0</v>
      </c>
      <c r="F49" s="30">
        <v>0</v>
      </c>
      <c r="G49" s="27" t="s">
        <v>142</v>
      </c>
      <c r="H49" s="27" t="s">
        <v>138</v>
      </c>
      <c r="I49" s="27">
        <v>1</v>
      </c>
      <c r="J49" s="27">
        <v>1</v>
      </c>
      <c r="K49" s="28">
        <v>0</v>
      </c>
      <c r="L49" s="30">
        <v>0</v>
      </c>
      <c r="M49" s="30">
        <f t="shared" si="1"/>
        <v>0</v>
      </c>
      <c r="N49" s="15" t="s">
        <v>22</v>
      </c>
      <c r="O49" s="27">
        <v>1</v>
      </c>
      <c r="P49" s="28">
        <v>0</v>
      </c>
      <c r="Q49" s="30">
        <v>0</v>
      </c>
      <c r="R49" s="30">
        <f t="shared" si="1"/>
        <v>0</v>
      </c>
      <c r="S49" s="15" t="s">
        <v>22</v>
      </c>
      <c r="T49" s="27">
        <v>1</v>
      </c>
      <c r="U49" s="28">
        <v>0</v>
      </c>
      <c r="V49" s="30">
        <v>0</v>
      </c>
      <c r="W49" s="30">
        <f t="shared" si="1"/>
        <v>0</v>
      </c>
      <c r="X49" s="22" t="s">
        <v>22</v>
      </c>
    </row>
    <row r="50" spans="1:24" ht="28.5" customHeight="1" x14ac:dyDescent="0.5">
      <c r="A50" s="27" t="s">
        <v>143</v>
      </c>
      <c r="B50" s="27" t="s">
        <v>144</v>
      </c>
      <c r="C50" s="28">
        <v>0</v>
      </c>
      <c r="D50" s="29" t="s">
        <v>141</v>
      </c>
      <c r="E50" s="30">
        <v>0</v>
      </c>
      <c r="F50" s="30">
        <v>0</v>
      </c>
      <c r="G50" s="27" t="s">
        <v>145</v>
      </c>
      <c r="H50" s="27" t="s">
        <v>138</v>
      </c>
      <c r="I50" s="27">
        <v>1</v>
      </c>
      <c r="J50" s="27">
        <v>1</v>
      </c>
      <c r="K50" s="28">
        <v>0</v>
      </c>
      <c r="L50" s="30">
        <v>0</v>
      </c>
      <c r="M50" s="30">
        <f t="shared" si="1"/>
        <v>0</v>
      </c>
      <c r="N50" s="15" t="s">
        <v>22</v>
      </c>
      <c r="O50" s="27">
        <v>1</v>
      </c>
      <c r="P50" s="28">
        <v>0</v>
      </c>
      <c r="Q50" s="30">
        <v>0</v>
      </c>
      <c r="R50" s="30">
        <f t="shared" si="1"/>
        <v>0</v>
      </c>
      <c r="S50" s="15" t="s">
        <v>22</v>
      </c>
      <c r="T50" s="27">
        <v>1</v>
      </c>
      <c r="U50" s="28">
        <v>0</v>
      </c>
      <c r="V50" s="30">
        <v>0</v>
      </c>
      <c r="W50" s="30">
        <f t="shared" si="1"/>
        <v>0</v>
      </c>
      <c r="X50" s="22" t="s">
        <v>22</v>
      </c>
    </row>
    <row r="51" spans="1:24" ht="28.5" customHeight="1" x14ac:dyDescent="0.5">
      <c r="A51" s="46" t="s">
        <v>146</v>
      </c>
      <c r="B51" s="47"/>
      <c r="C51" s="31"/>
      <c r="D51" s="31"/>
      <c r="E51" s="31"/>
      <c r="F51" s="32">
        <f t="shared" ref="F51:W51" si="13">SUMIF($G:$G,"2C9A7EE6529697459B71803C8F15B45E",F:F)</f>
        <v>0</v>
      </c>
      <c r="G51" s="31"/>
      <c r="H51" s="31"/>
      <c r="I51" s="31"/>
      <c r="J51" s="31"/>
      <c r="K51" s="31"/>
      <c r="L51" s="31"/>
      <c r="M51" s="32">
        <f t="shared" si="13"/>
        <v>0</v>
      </c>
      <c r="N51" s="31"/>
      <c r="O51" s="31"/>
      <c r="P51" s="31"/>
      <c r="Q51" s="31"/>
      <c r="R51" s="32">
        <f t="shared" si="13"/>
        <v>0</v>
      </c>
      <c r="S51" s="31"/>
      <c r="T51" s="31"/>
      <c r="U51" s="31"/>
      <c r="V51" s="31"/>
      <c r="W51" s="32">
        <f t="shared" si="13"/>
        <v>0</v>
      </c>
      <c r="X51" s="31"/>
    </row>
    <row r="52" spans="1:24" ht="28.5" customHeight="1" x14ac:dyDescent="0.5">
      <c r="A52" s="23" t="s">
        <v>147</v>
      </c>
      <c r="B52" s="23" t="s">
        <v>148</v>
      </c>
      <c r="C52" s="24">
        <v>0</v>
      </c>
      <c r="D52" s="25" t="s">
        <v>22</v>
      </c>
      <c r="E52" s="26">
        <v>0</v>
      </c>
      <c r="F52" s="26">
        <f t="shared" si="0"/>
        <v>8500</v>
      </c>
      <c r="G52" s="23" t="s">
        <v>149</v>
      </c>
      <c r="H52" s="23" t="s">
        <v>112</v>
      </c>
      <c r="I52" s="23"/>
      <c r="J52" s="23"/>
      <c r="K52" s="24">
        <v>0</v>
      </c>
      <c r="L52" s="26">
        <v>0</v>
      </c>
      <c r="M52" s="26">
        <f t="shared" si="0"/>
        <v>3004.87</v>
      </c>
      <c r="N52" s="15" t="s">
        <v>22</v>
      </c>
      <c r="O52" s="23"/>
      <c r="P52" s="24">
        <v>0</v>
      </c>
      <c r="Q52" s="26">
        <v>0</v>
      </c>
      <c r="R52" s="26">
        <f t="shared" si="0"/>
        <v>19292.93</v>
      </c>
      <c r="S52" s="15" t="s">
        <v>22</v>
      </c>
      <c r="T52" s="23"/>
      <c r="U52" s="24">
        <v>0</v>
      </c>
      <c r="V52" s="26">
        <v>0</v>
      </c>
      <c r="W52" s="26">
        <f t="shared" si="0"/>
        <v>0</v>
      </c>
      <c r="X52" s="22" t="s">
        <v>22</v>
      </c>
    </row>
    <row r="53" spans="1:24" ht="28.5" customHeight="1" x14ac:dyDescent="0.5">
      <c r="A53" s="27" t="s">
        <v>150</v>
      </c>
      <c r="B53" s="27" t="s">
        <v>151</v>
      </c>
      <c r="C53" s="28">
        <v>11</v>
      </c>
      <c r="D53" s="29" t="s">
        <v>8</v>
      </c>
      <c r="E53" s="30">
        <v>500</v>
      </c>
      <c r="F53" s="30">
        <f t="shared" si="9"/>
        <v>5500</v>
      </c>
      <c r="G53" s="27" t="s">
        <v>152</v>
      </c>
      <c r="H53" s="27" t="s">
        <v>149</v>
      </c>
      <c r="I53" s="27">
        <v>1</v>
      </c>
      <c r="J53" s="27">
        <v>1</v>
      </c>
      <c r="K53" s="28">
        <v>11</v>
      </c>
      <c r="L53" s="30">
        <v>273.17</v>
      </c>
      <c r="M53" s="30">
        <f t="shared" si="1"/>
        <v>3004.87</v>
      </c>
      <c r="N53" s="15" t="s">
        <v>22</v>
      </c>
      <c r="O53" s="27">
        <v>1</v>
      </c>
      <c r="P53" s="28">
        <v>13</v>
      </c>
      <c r="Q53" s="30">
        <v>631.36</v>
      </c>
      <c r="R53" s="30">
        <f t="shared" si="1"/>
        <v>8207.68</v>
      </c>
      <c r="S53" s="15" t="s">
        <v>22</v>
      </c>
      <c r="T53" s="27">
        <v>1</v>
      </c>
      <c r="U53" s="28">
        <v>0</v>
      </c>
      <c r="V53" s="30">
        <v>0</v>
      </c>
      <c r="W53" s="30">
        <f t="shared" si="1"/>
        <v>0</v>
      </c>
      <c r="X53" s="22" t="s">
        <v>41</v>
      </c>
    </row>
    <row r="54" spans="1:24" ht="28.5" customHeight="1" x14ac:dyDescent="0.5">
      <c r="A54" s="27" t="s">
        <v>153</v>
      </c>
      <c r="B54" s="27" t="s">
        <v>154</v>
      </c>
      <c r="C54" s="28">
        <v>1</v>
      </c>
      <c r="D54" s="29" t="s">
        <v>117</v>
      </c>
      <c r="E54" s="30">
        <v>3000</v>
      </c>
      <c r="F54" s="30">
        <f t="shared" si="9"/>
        <v>3000</v>
      </c>
      <c r="G54" s="27" t="s">
        <v>155</v>
      </c>
      <c r="H54" s="27" t="s">
        <v>149</v>
      </c>
      <c r="I54" s="27">
        <v>1</v>
      </c>
      <c r="J54" s="27">
        <v>1</v>
      </c>
      <c r="K54" s="28">
        <v>0</v>
      </c>
      <c r="L54" s="30">
        <v>0</v>
      </c>
      <c r="M54" s="30">
        <f t="shared" si="1"/>
        <v>0</v>
      </c>
      <c r="N54" s="15" t="s">
        <v>156</v>
      </c>
      <c r="O54" s="27">
        <v>1</v>
      </c>
      <c r="P54" s="28">
        <v>1</v>
      </c>
      <c r="Q54" s="30">
        <v>11085.25</v>
      </c>
      <c r="R54" s="30">
        <f t="shared" si="1"/>
        <v>11085.25</v>
      </c>
      <c r="S54" s="15" t="s">
        <v>22</v>
      </c>
      <c r="T54" s="27">
        <v>1</v>
      </c>
      <c r="U54" s="28">
        <v>0</v>
      </c>
      <c r="V54" s="30">
        <v>0</v>
      </c>
      <c r="W54" s="30">
        <f t="shared" si="1"/>
        <v>0</v>
      </c>
      <c r="X54" s="22" t="s">
        <v>41</v>
      </c>
    </row>
    <row r="55" spans="1:24" ht="28.5" customHeight="1" x14ac:dyDescent="0.5">
      <c r="A55" s="46" t="s">
        <v>157</v>
      </c>
      <c r="B55" s="47"/>
      <c r="C55" s="31"/>
      <c r="D55" s="31"/>
      <c r="E55" s="31"/>
      <c r="F55" s="32">
        <f t="shared" ref="F55:W55" si="14">SUMIF($G:$G,"5E24BB7EF188DD4DA13199C232E15F1D",F:F)</f>
        <v>8500</v>
      </c>
      <c r="G55" s="31"/>
      <c r="H55" s="31"/>
      <c r="I55" s="31"/>
      <c r="J55" s="31"/>
      <c r="K55" s="31"/>
      <c r="L55" s="31"/>
      <c r="M55" s="32">
        <f t="shared" si="14"/>
        <v>3004.87</v>
      </c>
      <c r="N55" s="31"/>
      <c r="O55" s="31"/>
      <c r="P55" s="31"/>
      <c r="Q55" s="31"/>
      <c r="R55" s="32">
        <f t="shared" si="14"/>
        <v>19292.93</v>
      </c>
      <c r="S55" s="31"/>
      <c r="T55" s="31"/>
      <c r="U55" s="31"/>
      <c r="V55" s="31"/>
      <c r="W55" s="32">
        <f t="shared" si="14"/>
        <v>0</v>
      </c>
      <c r="X55" s="31"/>
    </row>
    <row r="56" spans="1:24" ht="28.5" customHeight="1" x14ac:dyDescent="0.5">
      <c r="A56" s="18" t="s">
        <v>158</v>
      </c>
      <c r="B56" s="18" t="s">
        <v>159</v>
      </c>
      <c r="C56" s="19">
        <v>0</v>
      </c>
      <c r="D56" s="20" t="s">
        <v>22</v>
      </c>
      <c r="E56" s="21">
        <v>0</v>
      </c>
      <c r="F56" s="21">
        <f t="shared" si="0"/>
        <v>1500</v>
      </c>
      <c r="G56" s="18" t="s">
        <v>160</v>
      </c>
      <c r="H56" s="18" t="s">
        <v>107</v>
      </c>
      <c r="I56" s="18"/>
      <c r="J56" s="18"/>
      <c r="K56" s="19">
        <v>0</v>
      </c>
      <c r="L56" s="21">
        <v>0</v>
      </c>
      <c r="M56" s="21">
        <f t="shared" si="0"/>
        <v>364</v>
      </c>
      <c r="N56" s="15" t="s">
        <v>22</v>
      </c>
      <c r="O56" s="18"/>
      <c r="P56" s="19">
        <v>0</v>
      </c>
      <c r="Q56" s="21">
        <v>0</v>
      </c>
      <c r="R56" s="21">
        <f t="shared" si="0"/>
        <v>435.04</v>
      </c>
      <c r="S56" s="15" t="s">
        <v>22</v>
      </c>
      <c r="T56" s="18"/>
      <c r="U56" s="19">
        <v>0</v>
      </c>
      <c r="V56" s="21">
        <v>0</v>
      </c>
      <c r="W56" s="21">
        <f t="shared" si="0"/>
        <v>7789.06</v>
      </c>
      <c r="X56" s="22" t="s">
        <v>22</v>
      </c>
    </row>
    <row r="57" spans="1:24" ht="28.5" customHeight="1" x14ac:dyDescent="0.5">
      <c r="A57" s="27" t="s">
        <v>161</v>
      </c>
      <c r="B57" s="27" t="s">
        <v>162</v>
      </c>
      <c r="C57" s="28">
        <v>1</v>
      </c>
      <c r="D57" s="29" t="s">
        <v>163</v>
      </c>
      <c r="E57" s="30">
        <v>1500</v>
      </c>
      <c r="F57" s="30">
        <f t="shared" si="9"/>
        <v>1500</v>
      </c>
      <c r="G57" s="27" t="s">
        <v>164</v>
      </c>
      <c r="H57" s="27" t="s">
        <v>160</v>
      </c>
      <c r="I57" s="27">
        <v>1</v>
      </c>
      <c r="J57" s="27">
        <v>1</v>
      </c>
      <c r="K57" s="28">
        <v>1</v>
      </c>
      <c r="L57" s="30">
        <v>364</v>
      </c>
      <c r="M57" s="30">
        <f t="shared" si="1"/>
        <v>364</v>
      </c>
      <c r="N57" s="15" t="s">
        <v>22</v>
      </c>
      <c r="O57" s="27">
        <v>1</v>
      </c>
      <c r="P57" s="28">
        <v>1</v>
      </c>
      <c r="Q57" s="30">
        <v>435.04</v>
      </c>
      <c r="R57" s="30">
        <f t="shared" si="1"/>
        <v>435.04</v>
      </c>
      <c r="S57" s="15" t="s">
        <v>22</v>
      </c>
      <c r="T57" s="27">
        <v>1</v>
      </c>
      <c r="U57" s="28">
        <v>2</v>
      </c>
      <c r="V57" s="30">
        <v>3894.53</v>
      </c>
      <c r="W57" s="30">
        <f t="shared" si="1"/>
        <v>7789.06</v>
      </c>
      <c r="X57" s="22" t="s">
        <v>22</v>
      </c>
    </row>
    <row r="58" spans="1:24" ht="28.5" customHeight="1" x14ac:dyDescent="0.5">
      <c r="A58" s="44" t="s">
        <v>165</v>
      </c>
      <c r="B58" s="45"/>
      <c r="C58" s="16"/>
      <c r="D58" s="16"/>
      <c r="E58" s="16"/>
      <c r="F58" s="17">
        <f t="shared" ref="F58:W58" si="15">SUMIF($G:$G,"4F1445BCEAEC714FB3FDF62FFC3B6246",F:F)</f>
        <v>23200</v>
      </c>
      <c r="G58" s="16"/>
      <c r="H58" s="16"/>
      <c r="I58" s="16"/>
      <c r="J58" s="16"/>
      <c r="K58" s="16"/>
      <c r="L58" s="16"/>
      <c r="M58" s="17">
        <f t="shared" si="15"/>
        <v>3368.87</v>
      </c>
      <c r="N58" s="16"/>
      <c r="O58" s="16"/>
      <c r="P58" s="16"/>
      <c r="Q58" s="16"/>
      <c r="R58" s="17">
        <f t="shared" si="15"/>
        <v>42700.24</v>
      </c>
      <c r="S58" s="16"/>
      <c r="T58" s="16"/>
      <c r="U58" s="16"/>
      <c r="V58" s="16"/>
      <c r="W58" s="17">
        <f t="shared" si="15"/>
        <v>7789.06</v>
      </c>
      <c r="X58" s="16"/>
    </row>
    <row r="59" spans="1:24" ht="28.5" customHeight="1" x14ac:dyDescent="0.5">
      <c r="A59" s="8" t="s">
        <v>166</v>
      </c>
      <c r="B59" s="8" t="s">
        <v>167</v>
      </c>
      <c r="C59" s="8"/>
      <c r="D59" s="8"/>
      <c r="E59" s="8"/>
      <c r="F59" s="9">
        <f t="shared" si="0"/>
        <v>12500</v>
      </c>
      <c r="G59" s="8" t="s">
        <v>168</v>
      </c>
      <c r="H59" s="8" t="s">
        <v>19</v>
      </c>
      <c r="I59" s="8"/>
      <c r="J59" s="8"/>
      <c r="K59" s="8"/>
      <c r="L59" s="8"/>
      <c r="M59" s="9">
        <f t="shared" si="0"/>
        <v>6258</v>
      </c>
      <c r="N59" s="10"/>
      <c r="O59" s="8"/>
      <c r="P59" s="8"/>
      <c r="Q59" s="8"/>
      <c r="R59" s="9">
        <f t="shared" si="0"/>
        <v>13125.5</v>
      </c>
      <c r="S59" s="10"/>
      <c r="T59" s="8"/>
      <c r="U59" s="8"/>
      <c r="V59" s="8"/>
      <c r="W59" s="9">
        <f t="shared" si="0"/>
        <v>14347.04</v>
      </c>
      <c r="X59" s="11"/>
    </row>
    <row r="60" spans="1:24" ht="28.5" customHeight="1" x14ac:dyDescent="0.5">
      <c r="A60" s="18" t="s">
        <v>169</v>
      </c>
      <c r="B60" s="18" t="s">
        <v>86</v>
      </c>
      <c r="C60" s="19">
        <v>0</v>
      </c>
      <c r="D60" s="20" t="s">
        <v>22</v>
      </c>
      <c r="E60" s="21">
        <v>0</v>
      </c>
      <c r="F60" s="21">
        <f t="shared" si="7"/>
        <v>0</v>
      </c>
      <c r="G60" s="18" t="s">
        <v>170</v>
      </c>
      <c r="H60" s="18" t="s">
        <v>168</v>
      </c>
      <c r="I60" s="18">
        <v>1</v>
      </c>
      <c r="J60" s="18">
        <v>1</v>
      </c>
      <c r="K60" s="19">
        <v>0</v>
      </c>
      <c r="L60" s="21">
        <v>0</v>
      </c>
      <c r="M60" s="21">
        <f t="shared" si="8"/>
        <v>0</v>
      </c>
      <c r="N60" s="15" t="s">
        <v>22</v>
      </c>
      <c r="O60" s="18">
        <v>1</v>
      </c>
      <c r="P60" s="19">
        <v>0</v>
      </c>
      <c r="Q60" s="21">
        <v>0</v>
      </c>
      <c r="R60" s="21">
        <f t="shared" si="8"/>
        <v>0</v>
      </c>
      <c r="S60" s="15" t="s">
        <v>22</v>
      </c>
      <c r="T60" s="18">
        <v>1</v>
      </c>
      <c r="U60" s="19">
        <v>0</v>
      </c>
      <c r="V60" s="21">
        <v>0</v>
      </c>
      <c r="W60" s="21">
        <f t="shared" si="8"/>
        <v>0</v>
      </c>
      <c r="X60" s="22" t="s">
        <v>22</v>
      </c>
    </row>
    <row r="61" spans="1:24" ht="28.5" customHeight="1" x14ac:dyDescent="0.5">
      <c r="A61" s="18" t="s">
        <v>171</v>
      </c>
      <c r="B61" s="18" t="s">
        <v>172</v>
      </c>
      <c r="C61" s="19">
        <v>0</v>
      </c>
      <c r="D61" s="20" t="s">
        <v>22</v>
      </c>
      <c r="E61" s="21">
        <v>0</v>
      </c>
      <c r="F61" s="21">
        <f t="shared" si="0"/>
        <v>1000</v>
      </c>
      <c r="G61" s="18" t="s">
        <v>173</v>
      </c>
      <c r="H61" s="18" t="s">
        <v>168</v>
      </c>
      <c r="I61" s="18"/>
      <c r="J61" s="18"/>
      <c r="K61" s="19">
        <v>0</v>
      </c>
      <c r="L61" s="21">
        <v>0</v>
      </c>
      <c r="M61" s="21">
        <f t="shared" si="0"/>
        <v>1520</v>
      </c>
      <c r="N61" s="15" t="s">
        <v>22</v>
      </c>
      <c r="O61" s="18"/>
      <c r="P61" s="19">
        <v>0</v>
      </c>
      <c r="Q61" s="21">
        <v>0</v>
      </c>
      <c r="R61" s="21">
        <f t="shared" si="0"/>
        <v>2900.24</v>
      </c>
      <c r="S61" s="15" t="s">
        <v>22</v>
      </c>
      <c r="T61" s="18"/>
      <c r="U61" s="19">
        <v>0</v>
      </c>
      <c r="V61" s="21">
        <v>0</v>
      </c>
      <c r="W61" s="21">
        <f t="shared" si="0"/>
        <v>3719.4</v>
      </c>
      <c r="X61" s="22" t="s">
        <v>22</v>
      </c>
    </row>
    <row r="62" spans="1:24" ht="28.5" customHeight="1" x14ac:dyDescent="0.5">
      <c r="A62" s="23" t="s">
        <v>174</v>
      </c>
      <c r="B62" s="23" t="s">
        <v>175</v>
      </c>
      <c r="C62" s="24">
        <v>0</v>
      </c>
      <c r="D62" s="25" t="s">
        <v>22</v>
      </c>
      <c r="E62" s="26">
        <v>0</v>
      </c>
      <c r="F62" s="26">
        <f t="shared" si="0"/>
        <v>1000</v>
      </c>
      <c r="G62" s="23" t="s">
        <v>176</v>
      </c>
      <c r="H62" s="23" t="s">
        <v>173</v>
      </c>
      <c r="I62" s="23"/>
      <c r="J62" s="23"/>
      <c r="K62" s="24">
        <v>0</v>
      </c>
      <c r="L62" s="26">
        <v>0</v>
      </c>
      <c r="M62" s="26">
        <f t="shared" si="0"/>
        <v>1520</v>
      </c>
      <c r="N62" s="15" t="s">
        <v>22</v>
      </c>
      <c r="O62" s="23"/>
      <c r="P62" s="24">
        <v>0</v>
      </c>
      <c r="Q62" s="26">
        <v>0</v>
      </c>
      <c r="R62" s="26">
        <f t="shared" si="0"/>
        <v>2900.24</v>
      </c>
      <c r="S62" s="15" t="s">
        <v>22</v>
      </c>
      <c r="T62" s="23"/>
      <c r="U62" s="24">
        <v>0</v>
      </c>
      <c r="V62" s="26">
        <v>0</v>
      </c>
      <c r="W62" s="26">
        <f t="shared" si="0"/>
        <v>3719.4</v>
      </c>
      <c r="X62" s="22" t="s">
        <v>22</v>
      </c>
    </row>
    <row r="63" spans="1:24" ht="28.5" customHeight="1" x14ac:dyDescent="0.5">
      <c r="A63" s="27" t="s">
        <v>177</v>
      </c>
      <c r="B63" s="27" t="s">
        <v>178</v>
      </c>
      <c r="C63" s="28">
        <v>4</v>
      </c>
      <c r="D63" s="29" t="s">
        <v>8</v>
      </c>
      <c r="E63" s="30">
        <v>250</v>
      </c>
      <c r="F63" s="30">
        <f t="shared" si="9"/>
        <v>1000</v>
      </c>
      <c r="G63" s="27" t="s">
        <v>179</v>
      </c>
      <c r="H63" s="27" t="s">
        <v>176</v>
      </c>
      <c r="I63" s="27">
        <v>1</v>
      </c>
      <c r="J63" s="27">
        <v>1</v>
      </c>
      <c r="K63" s="28">
        <v>4</v>
      </c>
      <c r="L63" s="30">
        <v>380</v>
      </c>
      <c r="M63" s="30">
        <f t="shared" si="1"/>
        <v>1520</v>
      </c>
      <c r="N63" s="15" t="s">
        <v>22</v>
      </c>
      <c r="O63" s="27">
        <v>1</v>
      </c>
      <c r="P63" s="28">
        <v>4</v>
      </c>
      <c r="Q63" s="30">
        <v>725.06</v>
      </c>
      <c r="R63" s="30">
        <f t="shared" si="1"/>
        <v>2900.24</v>
      </c>
      <c r="S63" s="15" t="s">
        <v>22</v>
      </c>
      <c r="T63" s="27">
        <v>1</v>
      </c>
      <c r="U63" s="28">
        <v>4</v>
      </c>
      <c r="V63" s="30">
        <v>929.85</v>
      </c>
      <c r="W63" s="30">
        <f t="shared" si="1"/>
        <v>3719.4</v>
      </c>
      <c r="X63" s="22" t="s">
        <v>22</v>
      </c>
    </row>
    <row r="64" spans="1:24" ht="28.5" customHeight="1" x14ac:dyDescent="0.5">
      <c r="A64" s="46" t="s">
        <v>180</v>
      </c>
      <c r="B64" s="47"/>
      <c r="C64" s="31"/>
      <c r="D64" s="31"/>
      <c r="E64" s="31"/>
      <c r="F64" s="32">
        <f t="shared" ref="F64:W64" si="16">SUMIF($G:$G,"1DFF699A58EC854ABDD1CE3A67844093",F:F)</f>
        <v>1000</v>
      </c>
      <c r="G64" s="31"/>
      <c r="H64" s="31"/>
      <c r="I64" s="31"/>
      <c r="J64" s="31"/>
      <c r="K64" s="31"/>
      <c r="L64" s="31"/>
      <c r="M64" s="32">
        <f t="shared" si="16"/>
        <v>1520</v>
      </c>
      <c r="N64" s="31"/>
      <c r="O64" s="31"/>
      <c r="P64" s="31"/>
      <c r="Q64" s="31"/>
      <c r="R64" s="32">
        <f t="shared" si="16"/>
        <v>2900.24</v>
      </c>
      <c r="S64" s="31"/>
      <c r="T64" s="31"/>
      <c r="U64" s="31"/>
      <c r="V64" s="31"/>
      <c r="W64" s="32">
        <f t="shared" si="16"/>
        <v>3719.4</v>
      </c>
      <c r="X64" s="31"/>
    </row>
    <row r="65" spans="1:24" ht="28.5" customHeight="1" x14ac:dyDescent="0.5">
      <c r="A65" s="18" t="s">
        <v>181</v>
      </c>
      <c r="B65" s="18" t="s">
        <v>182</v>
      </c>
      <c r="C65" s="19">
        <v>0</v>
      </c>
      <c r="D65" s="20" t="s">
        <v>22</v>
      </c>
      <c r="E65" s="21">
        <v>0</v>
      </c>
      <c r="F65" s="21">
        <f t="shared" si="0"/>
        <v>11500</v>
      </c>
      <c r="G65" s="18" t="s">
        <v>183</v>
      </c>
      <c r="H65" s="18" t="s">
        <v>168</v>
      </c>
      <c r="I65" s="18"/>
      <c r="J65" s="18"/>
      <c r="K65" s="19">
        <v>0</v>
      </c>
      <c r="L65" s="21">
        <v>0</v>
      </c>
      <c r="M65" s="21">
        <f t="shared" si="0"/>
        <v>4738</v>
      </c>
      <c r="N65" s="15" t="s">
        <v>22</v>
      </c>
      <c r="O65" s="18"/>
      <c r="P65" s="19">
        <v>0</v>
      </c>
      <c r="Q65" s="21">
        <v>0</v>
      </c>
      <c r="R65" s="21">
        <f t="shared" si="0"/>
        <v>10225.26</v>
      </c>
      <c r="S65" s="15" t="s">
        <v>22</v>
      </c>
      <c r="T65" s="18"/>
      <c r="U65" s="19">
        <v>0</v>
      </c>
      <c r="V65" s="21">
        <v>0</v>
      </c>
      <c r="W65" s="21">
        <f t="shared" si="0"/>
        <v>10627.640000000001</v>
      </c>
      <c r="X65" s="22" t="s">
        <v>22</v>
      </c>
    </row>
    <row r="66" spans="1:24" ht="28.5" customHeight="1" x14ac:dyDescent="0.5">
      <c r="A66" s="23" t="s">
        <v>184</v>
      </c>
      <c r="B66" s="23" t="s">
        <v>185</v>
      </c>
      <c r="C66" s="24">
        <v>0</v>
      </c>
      <c r="D66" s="25" t="s">
        <v>22</v>
      </c>
      <c r="E66" s="26">
        <v>0</v>
      </c>
      <c r="F66" s="26">
        <f t="shared" si="0"/>
        <v>5500</v>
      </c>
      <c r="G66" s="23" t="s">
        <v>186</v>
      </c>
      <c r="H66" s="23" t="s">
        <v>183</v>
      </c>
      <c r="I66" s="23"/>
      <c r="J66" s="23"/>
      <c r="K66" s="24">
        <v>0</v>
      </c>
      <c r="L66" s="26">
        <v>0</v>
      </c>
      <c r="M66" s="26">
        <f t="shared" si="0"/>
        <v>1274</v>
      </c>
      <c r="N66" s="15" t="s">
        <v>22</v>
      </c>
      <c r="O66" s="23"/>
      <c r="P66" s="24">
        <v>0</v>
      </c>
      <c r="Q66" s="26">
        <v>0</v>
      </c>
      <c r="R66" s="26">
        <f t="shared" si="0"/>
        <v>4466.5700000000006</v>
      </c>
      <c r="S66" s="15" t="s">
        <v>22</v>
      </c>
      <c r="T66" s="23"/>
      <c r="U66" s="24">
        <v>0</v>
      </c>
      <c r="V66" s="26">
        <v>0</v>
      </c>
      <c r="W66" s="26">
        <f t="shared" si="0"/>
        <v>6018.85</v>
      </c>
      <c r="X66" s="22" t="s">
        <v>22</v>
      </c>
    </row>
    <row r="67" spans="1:24" ht="28.5" customHeight="1" x14ac:dyDescent="0.5">
      <c r="A67" s="27" t="s">
        <v>187</v>
      </c>
      <c r="B67" s="27" t="s">
        <v>188</v>
      </c>
      <c r="C67" s="28">
        <v>2</v>
      </c>
      <c r="D67" s="29" t="s">
        <v>35</v>
      </c>
      <c r="E67" s="30">
        <v>1500</v>
      </c>
      <c r="F67" s="30">
        <f t="shared" si="9"/>
        <v>3000</v>
      </c>
      <c r="G67" s="27" t="s">
        <v>189</v>
      </c>
      <c r="H67" s="27" t="s">
        <v>186</v>
      </c>
      <c r="I67" s="27">
        <v>1</v>
      </c>
      <c r="J67" s="27">
        <v>1</v>
      </c>
      <c r="K67" s="28">
        <v>1</v>
      </c>
      <c r="L67" s="30">
        <v>364</v>
      </c>
      <c r="M67" s="30">
        <f t="shared" si="1"/>
        <v>364</v>
      </c>
      <c r="N67" s="15" t="s">
        <v>22</v>
      </c>
      <c r="O67" s="27">
        <v>1</v>
      </c>
      <c r="P67" s="28">
        <v>1</v>
      </c>
      <c r="Q67" s="30">
        <v>2494.2199999999998</v>
      </c>
      <c r="R67" s="30">
        <f t="shared" si="1"/>
        <v>2494.2199999999998</v>
      </c>
      <c r="S67" s="15" t="s">
        <v>22</v>
      </c>
      <c r="T67" s="27">
        <v>1</v>
      </c>
      <c r="U67" s="28">
        <v>1</v>
      </c>
      <c r="V67" s="30">
        <v>2232.36</v>
      </c>
      <c r="W67" s="30">
        <f t="shared" si="1"/>
        <v>2232.36</v>
      </c>
      <c r="X67" s="22" t="s">
        <v>22</v>
      </c>
    </row>
    <row r="68" spans="1:24" ht="28.5" customHeight="1" x14ac:dyDescent="0.5">
      <c r="A68" s="27" t="s">
        <v>190</v>
      </c>
      <c r="B68" s="27" t="s">
        <v>191</v>
      </c>
      <c r="C68" s="28">
        <v>1</v>
      </c>
      <c r="D68" s="29" t="s">
        <v>35</v>
      </c>
      <c r="E68" s="30">
        <v>2000</v>
      </c>
      <c r="F68" s="30">
        <f t="shared" si="9"/>
        <v>2000</v>
      </c>
      <c r="G68" s="27" t="s">
        <v>192</v>
      </c>
      <c r="H68" s="27" t="s">
        <v>186</v>
      </c>
      <c r="I68" s="27">
        <v>1</v>
      </c>
      <c r="J68" s="27">
        <v>1</v>
      </c>
      <c r="K68" s="28">
        <v>1</v>
      </c>
      <c r="L68" s="30">
        <v>728</v>
      </c>
      <c r="M68" s="30">
        <f t="shared" si="1"/>
        <v>728</v>
      </c>
      <c r="N68" s="15" t="s">
        <v>22</v>
      </c>
      <c r="O68" s="27">
        <v>1</v>
      </c>
      <c r="P68" s="28">
        <v>1</v>
      </c>
      <c r="Q68" s="30">
        <v>1740.29</v>
      </c>
      <c r="R68" s="30">
        <f t="shared" si="1"/>
        <v>1740.29</v>
      </c>
      <c r="S68" s="15" t="s">
        <v>22</v>
      </c>
      <c r="T68" s="27">
        <v>1</v>
      </c>
      <c r="U68" s="28">
        <v>15</v>
      </c>
      <c r="V68" s="30">
        <v>246.31</v>
      </c>
      <c r="W68" s="30">
        <f t="shared" si="1"/>
        <v>3694.65</v>
      </c>
      <c r="X68" s="22" t="s">
        <v>193</v>
      </c>
    </row>
    <row r="69" spans="1:24" ht="28.5" customHeight="1" x14ac:dyDescent="0.5">
      <c r="A69" s="27" t="s">
        <v>194</v>
      </c>
      <c r="B69" s="27" t="s">
        <v>195</v>
      </c>
      <c r="C69" s="28">
        <v>1</v>
      </c>
      <c r="D69" s="29" t="s">
        <v>35</v>
      </c>
      <c r="E69" s="30">
        <v>500</v>
      </c>
      <c r="F69" s="30">
        <f t="shared" si="9"/>
        <v>500</v>
      </c>
      <c r="G69" s="27" t="s">
        <v>196</v>
      </c>
      <c r="H69" s="27" t="s">
        <v>186</v>
      </c>
      <c r="I69" s="27">
        <v>1</v>
      </c>
      <c r="J69" s="27">
        <v>1</v>
      </c>
      <c r="K69" s="28">
        <v>1</v>
      </c>
      <c r="L69" s="30">
        <v>182</v>
      </c>
      <c r="M69" s="30">
        <f t="shared" si="1"/>
        <v>182</v>
      </c>
      <c r="N69" s="15" t="s">
        <v>22</v>
      </c>
      <c r="O69" s="27">
        <v>1</v>
      </c>
      <c r="P69" s="28">
        <v>1</v>
      </c>
      <c r="Q69" s="30">
        <v>232.06</v>
      </c>
      <c r="R69" s="30">
        <f t="shared" si="1"/>
        <v>232.06</v>
      </c>
      <c r="S69" s="15" t="s">
        <v>22</v>
      </c>
      <c r="T69" s="27">
        <v>1</v>
      </c>
      <c r="U69" s="28">
        <v>1</v>
      </c>
      <c r="V69" s="30">
        <v>91.84</v>
      </c>
      <c r="W69" s="30">
        <f t="shared" si="1"/>
        <v>91.84</v>
      </c>
      <c r="X69" s="22" t="s">
        <v>22</v>
      </c>
    </row>
    <row r="70" spans="1:24" ht="28.5" customHeight="1" x14ac:dyDescent="0.5">
      <c r="A70" s="46" t="s">
        <v>197</v>
      </c>
      <c r="B70" s="47"/>
      <c r="C70" s="31"/>
      <c r="D70" s="31"/>
      <c r="E70" s="31"/>
      <c r="F70" s="32">
        <f t="shared" ref="F70:W70" si="17">SUMIF($G:$G,"7EC32B7ADCB5924C926A23FD19714B4A",F:F)</f>
        <v>5500</v>
      </c>
      <c r="G70" s="31"/>
      <c r="H70" s="31"/>
      <c r="I70" s="31"/>
      <c r="J70" s="31"/>
      <c r="K70" s="31"/>
      <c r="L70" s="31"/>
      <c r="M70" s="32">
        <f t="shared" si="17"/>
        <v>1274</v>
      </c>
      <c r="N70" s="31"/>
      <c r="O70" s="31"/>
      <c r="P70" s="31"/>
      <c r="Q70" s="31"/>
      <c r="R70" s="32">
        <f t="shared" si="17"/>
        <v>4466.5700000000006</v>
      </c>
      <c r="S70" s="31"/>
      <c r="T70" s="31"/>
      <c r="U70" s="31"/>
      <c r="V70" s="31"/>
      <c r="W70" s="32">
        <f t="shared" si="17"/>
        <v>6018.85</v>
      </c>
      <c r="X70" s="31"/>
    </row>
    <row r="71" spans="1:24" ht="28.5" customHeight="1" x14ac:dyDescent="0.5">
      <c r="A71" s="23" t="s">
        <v>198</v>
      </c>
      <c r="B71" s="23" t="s">
        <v>199</v>
      </c>
      <c r="C71" s="24">
        <v>0</v>
      </c>
      <c r="D71" s="25" t="s">
        <v>22</v>
      </c>
      <c r="E71" s="26">
        <v>0</v>
      </c>
      <c r="F71" s="26">
        <f t="shared" si="0"/>
        <v>2000</v>
      </c>
      <c r="G71" s="23" t="s">
        <v>200</v>
      </c>
      <c r="H71" s="23" t="s">
        <v>183</v>
      </c>
      <c r="I71" s="23"/>
      <c r="J71" s="23"/>
      <c r="K71" s="24">
        <v>0</v>
      </c>
      <c r="L71" s="26">
        <v>0</v>
      </c>
      <c r="M71" s="26">
        <f t="shared" si="0"/>
        <v>780</v>
      </c>
      <c r="N71" s="15" t="s">
        <v>22</v>
      </c>
      <c r="O71" s="23"/>
      <c r="P71" s="24">
        <v>0</v>
      </c>
      <c r="Q71" s="26">
        <v>0</v>
      </c>
      <c r="R71" s="26">
        <f t="shared" si="0"/>
        <v>1553.2</v>
      </c>
      <c r="S71" s="15" t="s">
        <v>22</v>
      </c>
      <c r="T71" s="23"/>
      <c r="U71" s="24">
        <v>0</v>
      </c>
      <c r="V71" s="26">
        <v>0</v>
      </c>
      <c r="W71" s="26">
        <f t="shared" si="0"/>
        <v>1045.9299999999998</v>
      </c>
      <c r="X71" s="22" t="s">
        <v>22</v>
      </c>
    </row>
    <row r="72" spans="1:24" ht="28.5" customHeight="1" x14ac:dyDescent="0.5">
      <c r="A72" s="27" t="s">
        <v>201</v>
      </c>
      <c r="B72" s="27" t="s">
        <v>202</v>
      </c>
      <c r="C72" s="28">
        <v>2</v>
      </c>
      <c r="D72" s="29" t="s">
        <v>35</v>
      </c>
      <c r="E72" s="30">
        <v>500</v>
      </c>
      <c r="F72" s="30">
        <f t="shared" si="9"/>
        <v>1000</v>
      </c>
      <c r="G72" s="27" t="s">
        <v>203</v>
      </c>
      <c r="H72" s="27" t="s">
        <v>200</v>
      </c>
      <c r="I72" s="27">
        <v>1</v>
      </c>
      <c r="J72" s="27">
        <v>1</v>
      </c>
      <c r="K72" s="28">
        <v>1</v>
      </c>
      <c r="L72" s="30">
        <v>260</v>
      </c>
      <c r="M72" s="30">
        <f t="shared" si="1"/>
        <v>260</v>
      </c>
      <c r="N72" s="15" t="s">
        <v>22</v>
      </c>
      <c r="O72" s="27">
        <v>1</v>
      </c>
      <c r="P72" s="28">
        <v>1</v>
      </c>
      <c r="Q72" s="30">
        <v>284.27</v>
      </c>
      <c r="R72" s="30">
        <f t="shared" si="1"/>
        <v>284.27</v>
      </c>
      <c r="S72" s="15" t="s">
        <v>22</v>
      </c>
      <c r="T72" s="27">
        <v>1</v>
      </c>
      <c r="U72" s="28">
        <v>1</v>
      </c>
      <c r="V72" s="30">
        <v>431.13</v>
      </c>
      <c r="W72" s="30">
        <f t="shared" si="1"/>
        <v>431.13</v>
      </c>
      <c r="X72" s="22" t="s">
        <v>22</v>
      </c>
    </row>
    <row r="73" spans="1:24" ht="28.5" customHeight="1" x14ac:dyDescent="0.5">
      <c r="A73" s="27" t="s">
        <v>204</v>
      </c>
      <c r="B73" s="27" t="s">
        <v>205</v>
      </c>
      <c r="C73" s="28">
        <v>2</v>
      </c>
      <c r="D73" s="29" t="s">
        <v>35</v>
      </c>
      <c r="E73" s="30">
        <v>500</v>
      </c>
      <c r="F73" s="30">
        <f t="shared" si="9"/>
        <v>1000</v>
      </c>
      <c r="G73" s="27" t="s">
        <v>206</v>
      </c>
      <c r="H73" s="27" t="s">
        <v>200</v>
      </c>
      <c r="I73" s="27">
        <v>1</v>
      </c>
      <c r="J73" s="27">
        <v>1</v>
      </c>
      <c r="K73" s="28">
        <v>1</v>
      </c>
      <c r="L73" s="30">
        <v>520</v>
      </c>
      <c r="M73" s="30">
        <f t="shared" si="1"/>
        <v>520</v>
      </c>
      <c r="N73" s="15" t="s">
        <v>22</v>
      </c>
      <c r="O73" s="27">
        <v>1</v>
      </c>
      <c r="P73" s="28">
        <v>1</v>
      </c>
      <c r="Q73" s="30">
        <v>1268.93</v>
      </c>
      <c r="R73" s="30">
        <f t="shared" si="1"/>
        <v>1268.93</v>
      </c>
      <c r="S73" s="15" t="s">
        <v>22</v>
      </c>
      <c r="T73" s="27">
        <v>1</v>
      </c>
      <c r="U73" s="28">
        <v>1</v>
      </c>
      <c r="V73" s="30">
        <v>614.79999999999995</v>
      </c>
      <c r="W73" s="30">
        <f t="shared" si="1"/>
        <v>614.79999999999995</v>
      </c>
      <c r="X73" s="22" t="s">
        <v>22</v>
      </c>
    </row>
    <row r="74" spans="1:24" ht="28.5" customHeight="1" x14ac:dyDescent="0.5">
      <c r="A74" s="46" t="s">
        <v>207</v>
      </c>
      <c r="B74" s="47"/>
      <c r="C74" s="31"/>
      <c r="D74" s="31"/>
      <c r="E74" s="31"/>
      <c r="F74" s="32">
        <f t="shared" ref="F74:W74" si="18">SUMIF($G:$G,"9985F073F193B24AA4E38BD40B001CDD",F:F)</f>
        <v>2000</v>
      </c>
      <c r="G74" s="31"/>
      <c r="H74" s="31"/>
      <c r="I74" s="31"/>
      <c r="J74" s="31"/>
      <c r="K74" s="31"/>
      <c r="L74" s="31"/>
      <c r="M74" s="32">
        <f t="shared" si="18"/>
        <v>780</v>
      </c>
      <c r="N74" s="31"/>
      <c r="O74" s="31"/>
      <c r="P74" s="31"/>
      <c r="Q74" s="31"/>
      <c r="R74" s="32">
        <f t="shared" si="18"/>
        <v>1553.2</v>
      </c>
      <c r="S74" s="31"/>
      <c r="T74" s="31"/>
      <c r="U74" s="31"/>
      <c r="V74" s="31"/>
      <c r="W74" s="32">
        <f t="shared" si="18"/>
        <v>1045.9299999999998</v>
      </c>
      <c r="X74" s="31"/>
    </row>
    <row r="75" spans="1:24" ht="28.5" customHeight="1" x14ac:dyDescent="0.5">
      <c r="A75" s="23" t="s">
        <v>208</v>
      </c>
      <c r="B75" s="23" t="s">
        <v>209</v>
      </c>
      <c r="C75" s="24">
        <v>0</v>
      </c>
      <c r="D75" s="25" t="s">
        <v>22</v>
      </c>
      <c r="E75" s="26">
        <v>0</v>
      </c>
      <c r="F75" s="26">
        <f t="shared" si="0"/>
        <v>4000</v>
      </c>
      <c r="G75" s="23" t="s">
        <v>210</v>
      </c>
      <c r="H75" s="23" t="s">
        <v>183</v>
      </c>
      <c r="I75" s="23"/>
      <c r="J75" s="23"/>
      <c r="K75" s="24">
        <v>0</v>
      </c>
      <c r="L75" s="26">
        <v>0</v>
      </c>
      <c r="M75" s="26">
        <f t="shared" si="0"/>
        <v>2684</v>
      </c>
      <c r="N75" s="15" t="s">
        <v>22</v>
      </c>
      <c r="O75" s="23"/>
      <c r="P75" s="24">
        <v>0</v>
      </c>
      <c r="Q75" s="26">
        <v>0</v>
      </c>
      <c r="R75" s="26">
        <f t="shared" si="0"/>
        <v>4205.49</v>
      </c>
      <c r="S75" s="15" t="s">
        <v>22</v>
      </c>
      <c r="T75" s="23"/>
      <c r="U75" s="24">
        <v>0</v>
      </c>
      <c r="V75" s="26">
        <v>0</v>
      </c>
      <c r="W75" s="26">
        <f t="shared" si="0"/>
        <v>3562.86</v>
      </c>
      <c r="X75" s="22" t="s">
        <v>22</v>
      </c>
    </row>
    <row r="76" spans="1:24" ht="28.5" customHeight="1" x14ac:dyDescent="0.5">
      <c r="A76" s="27" t="s">
        <v>211</v>
      </c>
      <c r="B76" s="27" t="s">
        <v>212</v>
      </c>
      <c r="C76" s="28">
        <v>1</v>
      </c>
      <c r="D76" s="29" t="s">
        <v>35</v>
      </c>
      <c r="E76" s="30">
        <v>4000</v>
      </c>
      <c r="F76" s="30">
        <f t="shared" si="9"/>
        <v>4000</v>
      </c>
      <c r="G76" s="27" t="s">
        <v>213</v>
      </c>
      <c r="H76" s="27" t="s">
        <v>210</v>
      </c>
      <c r="I76" s="27">
        <v>1</v>
      </c>
      <c r="J76" s="27">
        <v>1</v>
      </c>
      <c r="K76" s="28">
        <v>1</v>
      </c>
      <c r="L76" s="30">
        <v>2684</v>
      </c>
      <c r="M76" s="30">
        <f t="shared" si="1"/>
        <v>2684</v>
      </c>
      <c r="N76" s="15" t="s">
        <v>22</v>
      </c>
      <c r="O76" s="27">
        <v>1</v>
      </c>
      <c r="P76" s="28">
        <v>1</v>
      </c>
      <c r="Q76" s="30">
        <v>4205.49</v>
      </c>
      <c r="R76" s="30">
        <f t="shared" si="1"/>
        <v>4205.49</v>
      </c>
      <c r="S76" s="15" t="s">
        <v>22</v>
      </c>
      <c r="T76" s="27">
        <v>1</v>
      </c>
      <c r="U76" s="28">
        <v>17</v>
      </c>
      <c r="V76" s="30">
        <v>209.58</v>
      </c>
      <c r="W76" s="30">
        <f t="shared" si="1"/>
        <v>3562.86</v>
      </c>
      <c r="X76" s="22" t="s">
        <v>193</v>
      </c>
    </row>
    <row r="77" spans="1:24" ht="28.5" customHeight="1" x14ac:dyDescent="0.5">
      <c r="A77" s="46" t="s">
        <v>214</v>
      </c>
      <c r="B77" s="47"/>
      <c r="C77" s="31"/>
      <c r="D77" s="31"/>
      <c r="E77" s="31"/>
      <c r="F77" s="32">
        <f t="shared" ref="F77:W77" si="19">SUMIF($G:$G,"4116186131A83E469189838C1B648EC1",F:F)</f>
        <v>4000</v>
      </c>
      <c r="G77" s="31"/>
      <c r="H77" s="31"/>
      <c r="I77" s="31"/>
      <c r="J77" s="31"/>
      <c r="K77" s="31"/>
      <c r="L77" s="31"/>
      <c r="M77" s="32">
        <f t="shared" si="19"/>
        <v>2684</v>
      </c>
      <c r="N77" s="31"/>
      <c r="O77" s="31"/>
      <c r="P77" s="31"/>
      <c r="Q77" s="31"/>
      <c r="R77" s="32">
        <f t="shared" si="19"/>
        <v>4205.49</v>
      </c>
      <c r="S77" s="31"/>
      <c r="T77" s="31"/>
      <c r="U77" s="31"/>
      <c r="V77" s="31"/>
      <c r="W77" s="32">
        <f t="shared" si="19"/>
        <v>3562.86</v>
      </c>
      <c r="X77" s="31"/>
    </row>
    <row r="78" spans="1:24" ht="28.5" customHeight="1" x14ac:dyDescent="0.5">
      <c r="A78" s="44" t="s">
        <v>215</v>
      </c>
      <c r="B78" s="45"/>
      <c r="C78" s="16"/>
      <c r="D78" s="16"/>
      <c r="E78" s="16"/>
      <c r="F78" s="17">
        <f t="shared" ref="F78:W78" si="20">SUMIF($G:$G,"3955E7D2175B4040B1751A296E3D29A9",F:F)</f>
        <v>12500</v>
      </c>
      <c r="G78" s="16"/>
      <c r="H78" s="16"/>
      <c r="I78" s="16"/>
      <c r="J78" s="16"/>
      <c r="K78" s="16"/>
      <c r="L78" s="16"/>
      <c r="M78" s="17">
        <f t="shared" si="20"/>
        <v>6258</v>
      </c>
      <c r="N78" s="16"/>
      <c r="O78" s="16"/>
      <c r="P78" s="16"/>
      <c r="Q78" s="16"/>
      <c r="R78" s="17">
        <f t="shared" si="20"/>
        <v>13125.5</v>
      </c>
      <c r="S78" s="16"/>
      <c r="T78" s="16"/>
      <c r="U78" s="16"/>
      <c r="V78" s="16"/>
      <c r="W78" s="17">
        <f t="shared" si="20"/>
        <v>14347.04</v>
      </c>
      <c r="X78" s="16"/>
    </row>
    <row r="79" spans="1:24" ht="28.5" customHeight="1" x14ac:dyDescent="0.5">
      <c r="A79" s="8" t="s">
        <v>216</v>
      </c>
      <c r="B79" s="8" t="s">
        <v>217</v>
      </c>
      <c r="C79" s="8"/>
      <c r="D79" s="8"/>
      <c r="E79" s="8"/>
      <c r="F79" s="9">
        <f t="shared" si="0"/>
        <v>1500</v>
      </c>
      <c r="G79" s="8" t="s">
        <v>218</v>
      </c>
      <c r="H79" s="8" t="s">
        <v>19</v>
      </c>
      <c r="I79" s="8"/>
      <c r="J79" s="8"/>
      <c r="K79" s="8"/>
      <c r="L79" s="8"/>
      <c r="M79" s="9">
        <f t="shared" si="0"/>
        <v>1456</v>
      </c>
      <c r="N79" s="10"/>
      <c r="O79" s="8"/>
      <c r="P79" s="8"/>
      <c r="Q79" s="8"/>
      <c r="R79" s="9">
        <f t="shared" si="0"/>
        <v>4147.3900000000003</v>
      </c>
      <c r="S79" s="10"/>
      <c r="T79" s="8"/>
      <c r="U79" s="8"/>
      <c r="V79" s="8"/>
      <c r="W79" s="9">
        <f t="shared" si="0"/>
        <v>1222.76</v>
      </c>
      <c r="X79" s="11"/>
    </row>
    <row r="80" spans="1:24" ht="28.5" customHeight="1" x14ac:dyDescent="0.5">
      <c r="A80" s="18" t="s">
        <v>219</v>
      </c>
      <c r="B80" s="18" t="s">
        <v>86</v>
      </c>
      <c r="C80" s="19">
        <v>0</v>
      </c>
      <c r="D80" s="20" t="s">
        <v>22</v>
      </c>
      <c r="E80" s="21">
        <v>0</v>
      </c>
      <c r="F80" s="21">
        <f t="shared" si="7"/>
        <v>0</v>
      </c>
      <c r="G80" s="18" t="s">
        <v>220</v>
      </c>
      <c r="H80" s="18" t="s">
        <v>218</v>
      </c>
      <c r="I80" s="18">
        <v>1</v>
      </c>
      <c r="J80" s="18">
        <v>1</v>
      </c>
      <c r="K80" s="19">
        <v>0</v>
      </c>
      <c r="L80" s="21">
        <v>0</v>
      </c>
      <c r="M80" s="21">
        <f t="shared" si="8"/>
        <v>0</v>
      </c>
      <c r="N80" s="15" t="s">
        <v>22</v>
      </c>
      <c r="O80" s="18">
        <v>1</v>
      </c>
      <c r="P80" s="19">
        <v>0</v>
      </c>
      <c r="Q80" s="21">
        <v>0</v>
      </c>
      <c r="R80" s="21">
        <f t="shared" si="8"/>
        <v>0</v>
      </c>
      <c r="S80" s="15" t="s">
        <v>22</v>
      </c>
      <c r="T80" s="18">
        <v>1</v>
      </c>
      <c r="U80" s="19">
        <v>0</v>
      </c>
      <c r="V80" s="21">
        <v>0</v>
      </c>
      <c r="W80" s="21">
        <f t="shared" si="8"/>
        <v>0</v>
      </c>
      <c r="X80" s="22" t="s">
        <v>22</v>
      </c>
    </row>
    <row r="81" spans="1:24" ht="28.5" customHeight="1" x14ac:dyDescent="0.5">
      <c r="A81" s="18" t="s">
        <v>221</v>
      </c>
      <c r="B81" s="18" t="s">
        <v>222</v>
      </c>
      <c r="C81" s="19">
        <v>0</v>
      </c>
      <c r="D81" s="20" t="s">
        <v>22</v>
      </c>
      <c r="E81" s="21">
        <v>0</v>
      </c>
      <c r="F81" s="21">
        <f t="shared" si="0"/>
        <v>1500</v>
      </c>
      <c r="G81" s="18" t="s">
        <v>223</v>
      </c>
      <c r="H81" s="18" t="s">
        <v>218</v>
      </c>
      <c r="I81" s="18"/>
      <c r="J81" s="18"/>
      <c r="K81" s="19">
        <v>0</v>
      </c>
      <c r="L81" s="21">
        <v>0</v>
      </c>
      <c r="M81" s="21">
        <f t="shared" si="0"/>
        <v>1456</v>
      </c>
      <c r="N81" s="15" t="s">
        <v>22</v>
      </c>
      <c r="O81" s="18"/>
      <c r="P81" s="19">
        <v>0</v>
      </c>
      <c r="Q81" s="21">
        <v>0</v>
      </c>
      <c r="R81" s="21">
        <f t="shared" si="0"/>
        <v>4147.3900000000003</v>
      </c>
      <c r="S81" s="15" t="s">
        <v>22</v>
      </c>
      <c r="T81" s="18"/>
      <c r="U81" s="19">
        <v>0</v>
      </c>
      <c r="V81" s="21">
        <v>0</v>
      </c>
      <c r="W81" s="21">
        <f t="shared" si="0"/>
        <v>1222.76</v>
      </c>
      <c r="X81" s="22" t="s">
        <v>22</v>
      </c>
    </row>
    <row r="82" spans="1:24" ht="28.5" customHeight="1" x14ac:dyDescent="0.5">
      <c r="A82" s="27" t="s">
        <v>224</v>
      </c>
      <c r="B82" s="27" t="s">
        <v>225</v>
      </c>
      <c r="C82" s="28">
        <v>1</v>
      </c>
      <c r="D82" s="29" t="s">
        <v>35</v>
      </c>
      <c r="E82" s="30">
        <v>1500</v>
      </c>
      <c r="F82" s="30">
        <f t="shared" si="9"/>
        <v>1500</v>
      </c>
      <c r="G82" s="27" t="s">
        <v>226</v>
      </c>
      <c r="H82" s="27" t="s">
        <v>223</v>
      </c>
      <c r="I82" s="27">
        <v>1</v>
      </c>
      <c r="J82" s="27">
        <v>1</v>
      </c>
      <c r="K82" s="28">
        <v>1</v>
      </c>
      <c r="L82" s="30">
        <v>1456</v>
      </c>
      <c r="M82" s="30">
        <f t="shared" si="1"/>
        <v>1456</v>
      </c>
      <c r="N82" s="15" t="s">
        <v>22</v>
      </c>
      <c r="O82" s="27">
        <v>1</v>
      </c>
      <c r="P82" s="28">
        <v>1</v>
      </c>
      <c r="Q82" s="30">
        <v>4147.3900000000003</v>
      </c>
      <c r="R82" s="30">
        <f t="shared" si="1"/>
        <v>4147.3900000000003</v>
      </c>
      <c r="S82" s="15" t="s">
        <v>22</v>
      </c>
      <c r="T82" s="27">
        <v>1</v>
      </c>
      <c r="U82" s="28">
        <v>1</v>
      </c>
      <c r="V82" s="30">
        <v>1222.76</v>
      </c>
      <c r="W82" s="30">
        <f t="shared" si="1"/>
        <v>1222.76</v>
      </c>
      <c r="X82" s="22" t="s">
        <v>22</v>
      </c>
    </row>
    <row r="83" spans="1:24" ht="28.5" customHeight="1" x14ac:dyDescent="0.5">
      <c r="A83" s="44" t="s">
        <v>227</v>
      </c>
      <c r="B83" s="45"/>
      <c r="C83" s="16"/>
      <c r="D83" s="16"/>
      <c r="E83" s="16"/>
      <c r="F83" s="17">
        <f t="shared" ref="F83:W83" si="21">SUMIF($G:$G,"A0566CFFA58BD24587F94C78DDC842E2",F:F)</f>
        <v>1500</v>
      </c>
      <c r="G83" s="16"/>
      <c r="H83" s="16"/>
      <c r="I83" s="16"/>
      <c r="J83" s="16"/>
      <c r="K83" s="16"/>
      <c r="L83" s="16"/>
      <c r="M83" s="17">
        <f t="shared" si="21"/>
        <v>1456</v>
      </c>
      <c r="N83" s="16"/>
      <c r="O83" s="16"/>
      <c r="P83" s="16"/>
      <c r="Q83" s="16"/>
      <c r="R83" s="17">
        <f t="shared" si="21"/>
        <v>4147.3900000000003</v>
      </c>
      <c r="S83" s="16"/>
      <c r="T83" s="16"/>
      <c r="U83" s="16"/>
      <c r="V83" s="16"/>
      <c r="W83" s="17">
        <f t="shared" si="21"/>
        <v>1222.76</v>
      </c>
      <c r="X83" s="16"/>
    </row>
    <row r="84" spans="1:24" ht="28.5" customHeight="1" x14ac:dyDescent="0.5">
      <c r="A84" s="8" t="s">
        <v>228</v>
      </c>
      <c r="B84" s="8" t="s">
        <v>229</v>
      </c>
      <c r="C84" s="8"/>
      <c r="D84" s="8"/>
      <c r="E84" s="8"/>
      <c r="F84" s="9">
        <f t="shared" si="0"/>
        <v>6580</v>
      </c>
      <c r="G84" s="8" t="s">
        <v>230</v>
      </c>
      <c r="H84" s="8" t="s">
        <v>19</v>
      </c>
      <c r="I84" s="8"/>
      <c r="J84" s="8"/>
      <c r="K84" s="8"/>
      <c r="L84" s="8"/>
      <c r="M84" s="9">
        <f t="shared" si="0"/>
        <v>4549.97</v>
      </c>
      <c r="N84" s="10"/>
      <c r="O84" s="8"/>
      <c r="P84" s="8"/>
      <c r="Q84" s="8"/>
      <c r="R84" s="9">
        <f t="shared" si="0"/>
        <v>19402.920000000002</v>
      </c>
      <c r="S84" s="10"/>
      <c r="T84" s="8"/>
      <c r="U84" s="8"/>
      <c r="V84" s="8"/>
      <c r="W84" s="9">
        <f t="shared" si="0"/>
        <v>15666.75</v>
      </c>
      <c r="X84" s="11"/>
    </row>
    <row r="85" spans="1:24" ht="28.5" customHeight="1" x14ac:dyDescent="0.5">
      <c r="A85" s="18" t="s">
        <v>231</v>
      </c>
      <c r="B85" s="18" t="s">
        <v>86</v>
      </c>
      <c r="C85" s="19">
        <v>0</v>
      </c>
      <c r="D85" s="20" t="s">
        <v>22</v>
      </c>
      <c r="E85" s="21">
        <v>0</v>
      </c>
      <c r="F85" s="21">
        <f t="shared" si="7"/>
        <v>0</v>
      </c>
      <c r="G85" s="18" t="s">
        <v>232</v>
      </c>
      <c r="H85" s="18" t="s">
        <v>230</v>
      </c>
      <c r="I85" s="18">
        <v>1</v>
      </c>
      <c r="J85" s="18">
        <v>1</v>
      </c>
      <c r="K85" s="19">
        <v>0</v>
      </c>
      <c r="L85" s="21">
        <v>0</v>
      </c>
      <c r="M85" s="21">
        <f t="shared" si="8"/>
        <v>0</v>
      </c>
      <c r="N85" s="15" t="s">
        <v>22</v>
      </c>
      <c r="O85" s="18">
        <v>1</v>
      </c>
      <c r="P85" s="19">
        <v>0</v>
      </c>
      <c r="Q85" s="21">
        <v>0</v>
      </c>
      <c r="R85" s="21">
        <f t="shared" si="8"/>
        <v>0</v>
      </c>
      <c r="S85" s="15" t="s">
        <v>22</v>
      </c>
      <c r="T85" s="18">
        <v>1</v>
      </c>
      <c r="U85" s="19">
        <v>0</v>
      </c>
      <c r="V85" s="21">
        <v>0</v>
      </c>
      <c r="W85" s="21">
        <f t="shared" si="8"/>
        <v>0</v>
      </c>
      <c r="X85" s="22" t="s">
        <v>22</v>
      </c>
    </row>
    <row r="86" spans="1:24" ht="28.5" customHeight="1" x14ac:dyDescent="0.5">
      <c r="A86" s="18" t="s">
        <v>233</v>
      </c>
      <c r="B86" s="18" t="s">
        <v>222</v>
      </c>
      <c r="C86" s="19">
        <v>0</v>
      </c>
      <c r="D86" s="20" t="s">
        <v>22</v>
      </c>
      <c r="E86" s="21">
        <v>0</v>
      </c>
      <c r="F86" s="21">
        <f t="shared" si="0"/>
        <v>6580</v>
      </c>
      <c r="G86" s="18" t="s">
        <v>234</v>
      </c>
      <c r="H86" s="18" t="s">
        <v>230</v>
      </c>
      <c r="I86" s="18"/>
      <c r="J86" s="18"/>
      <c r="K86" s="19">
        <v>0</v>
      </c>
      <c r="L86" s="21">
        <v>0</v>
      </c>
      <c r="M86" s="21">
        <f t="shared" si="0"/>
        <v>4549.97</v>
      </c>
      <c r="N86" s="15" t="s">
        <v>22</v>
      </c>
      <c r="O86" s="18"/>
      <c r="P86" s="19">
        <v>0</v>
      </c>
      <c r="Q86" s="21">
        <v>0</v>
      </c>
      <c r="R86" s="21">
        <f t="shared" si="0"/>
        <v>19402.920000000002</v>
      </c>
      <c r="S86" s="15" t="s">
        <v>22</v>
      </c>
      <c r="T86" s="18"/>
      <c r="U86" s="19">
        <v>0</v>
      </c>
      <c r="V86" s="21">
        <v>0</v>
      </c>
      <c r="W86" s="21">
        <f t="shared" si="0"/>
        <v>15666.75</v>
      </c>
      <c r="X86" s="22" t="s">
        <v>22</v>
      </c>
    </row>
    <row r="87" spans="1:24" ht="28.5" customHeight="1" x14ac:dyDescent="0.5">
      <c r="A87" s="27" t="s">
        <v>235</v>
      </c>
      <c r="B87" s="27" t="s">
        <v>225</v>
      </c>
      <c r="C87" s="28">
        <v>186</v>
      </c>
      <c r="D87" s="29" t="s">
        <v>236</v>
      </c>
      <c r="E87" s="30">
        <v>30</v>
      </c>
      <c r="F87" s="30">
        <f t="shared" si="9"/>
        <v>5580</v>
      </c>
      <c r="G87" s="27" t="s">
        <v>237</v>
      </c>
      <c r="H87" s="27" t="s">
        <v>234</v>
      </c>
      <c r="I87" s="27">
        <v>1</v>
      </c>
      <c r="J87" s="27">
        <v>1</v>
      </c>
      <c r="K87" s="28">
        <v>9</v>
      </c>
      <c r="L87" s="30">
        <v>485.33</v>
      </c>
      <c r="M87" s="30">
        <f t="shared" si="1"/>
        <v>4367.97</v>
      </c>
      <c r="N87" s="15" t="s">
        <v>22</v>
      </c>
      <c r="O87" s="27">
        <v>1</v>
      </c>
      <c r="P87" s="28">
        <v>1</v>
      </c>
      <c r="Q87" s="30">
        <v>19286.900000000001</v>
      </c>
      <c r="R87" s="30">
        <f t="shared" si="1"/>
        <v>19286.900000000001</v>
      </c>
      <c r="S87" s="15" t="s">
        <v>35</v>
      </c>
      <c r="T87" s="27">
        <v>1</v>
      </c>
      <c r="U87" s="28">
        <v>9</v>
      </c>
      <c r="V87" s="30">
        <v>1357.53</v>
      </c>
      <c r="W87" s="30">
        <f t="shared" si="1"/>
        <v>12217.77</v>
      </c>
      <c r="X87" s="22" t="s">
        <v>238</v>
      </c>
    </row>
    <row r="88" spans="1:24" ht="28.5" customHeight="1" x14ac:dyDescent="0.5">
      <c r="A88" s="27" t="s">
        <v>239</v>
      </c>
      <c r="B88" s="27" t="s">
        <v>162</v>
      </c>
      <c r="C88" s="28">
        <v>1</v>
      </c>
      <c r="D88" s="29" t="s">
        <v>35</v>
      </c>
      <c r="E88" s="30">
        <v>1000</v>
      </c>
      <c r="F88" s="30">
        <f t="shared" si="9"/>
        <v>1000</v>
      </c>
      <c r="G88" s="27" t="s">
        <v>240</v>
      </c>
      <c r="H88" s="27" t="s">
        <v>234</v>
      </c>
      <c r="I88" s="27">
        <v>1</v>
      </c>
      <c r="J88" s="27">
        <v>1</v>
      </c>
      <c r="K88" s="28">
        <v>1</v>
      </c>
      <c r="L88" s="30">
        <v>182</v>
      </c>
      <c r="M88" s="30">
        <f t="shared" si="1"/>
        <v>182</v>
      </c>
      <c r="N88" s="15" t="s">
        <v>22</v>
      </c>
      <c r="O88" s="27">
        <v>1</v>
      </c>
      <c r="P88" s="28">
        <v>2</v>
      </c>
      <c r="Q88" s="30">
        <v>58.01</v>
      </c>
      <c r="R88" s="30">
        <f t="shared" si="1"/>
        <v>116.02</v>
      </c>
      <c r="S88" s="15" t="s">
        <v>22</v>
      </c>
      <c r="T88" s="27">
        <v>1</v>
      </c>
      <c r="U88" s="28">
        <v>2</v>
      </c>
      <c r="V88" s="30">
        <v>1724.49</v>
      </c>
      <c r="W88" s="30">
        <f t="shared" si="1"/>
        <v>3448.98</v>
      </c>
      <c r="X88" s="22" t="s">
        <v>22</v>
      </c>
    </row>
    <row r="89" spans="1:24" ht="28.5" customHeight="1" x14ac:dyDescent="0.5">
      <c r="A89" s="44" t="s">
        <v>241</v>
      </c>
      <c r="B89" s="45"/>
      <c r="C89" s="16"/>
      <c r="D89" s="16"/>
      <c r="E89" s="16"/>
      <c r="F89" s="17">
        <f t="shared" ref="F89:W89" si="22">SUMIF($G:$G,"67626288A4B1974AAA8A96360BBB41E7",F:F)</f>
        <v>6580</v>
      </c>
      <c r="G89" s="16"/>
      <c r="H89" s="16"/>
      <c r="I89" s="16"/>
      <c r="J89" s="16"/>
      <c r="K89" s="16"/>
      <c r="L89" s="16"/>
      <c r="M89" s="17">
        <f t="shared" si="22"/>
        <v>4549.97</v>
      </c>
      <c r="N89" s="16"/>
      <c r="O89" s="16"/>
      <c r="P89" s="16"/>
      <c r="Q89" s="16"/>
      <c r="R89" s="17">
        <f t="shared" si="22"/>
        <v>19402.920000000002</v>
      </c>
      <c r="S89" s="16"/>
      <c r="T89" s="16"/>
      <c r="U89" s="16"/>
      <c r="V89" s="16"/>
      <c r="W89" s="17">
        <f t="shared" si="22"/>
        <v>15666.75</v>
      </c>
      <c r="X89" s="16"/>
    </row>
    <row r="90" spans="1:24" ht="28.5" customHeight="1" x14ac:dyDescent="0.5">
      <c r="A90" s="8" t="s">
        <v>242</v>
      </c>
      <c r="B90" s="8" t="s">
        <v>243</v>
      </c>
      <c r="C90" s="8"/>
      <c r="D90" s="8"/>
      <c r="E90" s="8"/>
      <c r="F90" s="9">
        <f t="shared" si="0"/>
        <v>37850</v>
      </c>
      <c r="G90" s="8" t="s">
        <v>244</v>
      </c>
      <c r="H90" s="8" t="s">
        <v>19</v>
      </c>
      <c r="I90" s="8"/>
      <c r="J90" s="8"/>
      <c r="K90" s="8"/>
      <c r="L90" s="8"/>
      <c r="M90" s="9">
        <f t="shared" si="0"/>
        <v>73751.100000000006</v>
      </c>
      <c r="N90" s="10"/>
      <c r="O90" s="8"/>
      <c r="P90" s="8"/>
      <c r="Q90" s="8"/>
      <c r="R90" s="9">
        <f t="shared" si="0"/>
        <v>96384.15</v>
      </c>
      <c r="S90" s="10"/>
      <c r="T90" s="8"/>
      <c r="U90" s="8"/>
      <c r="V90" s="8"/>
      <c r="W90" s="9">
        <f t="shared" si="0"/>
        <v>124354.31999999999</v>
      </c>
      <c r="X90" s="11"/>
    </row>
    <row r="91" spans="1:24" ht="28.5" customHeight="1" x14ac:dyDescent="0.5">
      <c r="A91" s="18" t="s">
        <v>245</v>
      </c>
      <c r="B91" s="18" t="s">
        <v>86</v>
      </c>
      <c r="C91" s="19">
        <v>0</v>
      </c>
      <c r="D91" s="20" t="s">
        <v>22</v>
      </c>
      <c r="E91" s="21">
        <v>0</v>
      </c>
      <c r="F91" s="21">
        <f t="shared" si="7"/>
        <v>0</v>
      </c>
      <c r="G91" s="18" t="s">
        <v>246</v>
      </c>
      <c r="H91" s="18" t="s">
        <v>244</v>
      </c>
      <c r="I91" s="18">
        <v>1</v>
      </c>
      <c r="J91" s="18">
        <v>1</v>
      </c>
      <c r="K91" s="19">
        <v>0</v>
      </c>
      <c r="L91" s="21">
        <v>0</v>
      </c>
      <c r="M91" s="21">
        <f t="shared" si="8"/>
        <v>0</v>
      </c>
      <c r="N91" s="15" t="s">
        <v>22</v>
      </c>
      <c r="O91" s="18">
        <v>1</v>
      </c>
      <c r="P91" s="19">
        <v>0</v>
      </c>
      <c r="Q91" s="21">
        <v>0</v>
      </c>
      <c r="R91" s="21">
        <f t="shared" si="8"/>
        <v>0</v>
      </c>
      <c r="S91" s="15" t="s">
        <v>22</v>
      </c>
      <c r="T91" s="18">
        <v>1</v>
      </c>
      <c r="U91" s="19">
        <v>0</v>
      </c>
      <c r="V91" s="21">
        <v>0</v>
      </c>
      <c r="W91" s="21">
        <f t="shared" si="8"/>
        <v>0</v>
      </c>
      <c r="X91" s="22" t="s">
        <v>22</v>
      </c>
    </row>
    <row r="92" spans="1:24" ht="28.5" customHeight="1" x14ac:dyDescent="0.5">
      <c r="A92" s="18" t="s">
        <v>247</v>
      </c>
      <c r="B92" s="18" t="s">
        <v>111</v>
      </c>
      <c r="C92" s="19">
        <v>0</v>
      </c>
      <c r="D92" s="20" t="s">
        <v>22</v>
      </c>
      <c r="E92" s="21">
        <v>0</v>
      </c>
      <c r="F92" s="21">
        <f t="shared" si="0"/>
        <v>30400</v>
      </c>
      <c r="G92" s="18" t="s">
        <v>248</v>
      </c>
      <c r="H92" s="18" t="s">
        <v>244</v>
      </c>
      <c r="I92" s="18"/>
      <c r="J92" s="18"/>
      <c r="K92" s="19">
        <v>0</v>
      </c>
      <c r="L92" s="21">
        <v>0</v>
      </c>
      <c r="M92" s="21">
        <f t="shared" si="0"/>
        <v>65743.100000000006</v>
      </c>
      <c r="N92" s="15" t="s">
        <v>22</v>
      </c>
      <c r="O92" s="18"/>
      <c r="P92" s="19">
        <v>0</v>
      </c>
      <c r="Q92" s="21">
        <v>0</v>
      </c>
      <c r="R92" s="21">
        <f t="shared" si="0"/>
        <v>68157.75</v>
      </c>
      <c r="S92" s="15" t="s">
        <v>22</v>
      </c>
      <c r="T92" s="18"/>
      <c r="U92" s="19">
        <v>0</v>
      </c>
      <c r="V92" s="21">
        <v>0</v>
      </c>
      <c r="W92" s="21">
        <f t="shared" si="0"/>
        <v>92371.26</v>
      </c>
      <c r="X92" s="22" t="s">
        <v>22</v>
      </c>
    </row>
    <row r="93" spans="1:24" ht="28.5" customHeight="1" x14ac:dyDescent="0.5">
      <c r="A93" s="23" t="s">
        <v>249</v>
      </c>
      <c r="B93" s="23" t="s">
        <v>31</v>
      </c>
      <c r="C93" s="24">
        <v>0</v>
      </c>
      <c r="D93" s="25" t="s">
        <v>22</v>
      </c>
      <c r="E93" s="26">
        <v>0</v>
      </c>
      <c r="F93" s="26">
        <f t="shared" si="0"/>
        <v>13000</v>
      </c>
      <c r="G93" s="23" t="s">
        <v>250</v>
      </c>
      <c r="H93" s="23" t="s">
        <v>248</v>
      </c>
      <c r="I93" s="23"/>
      <c r="J93" s="23"/>
      <c r="K93" s="24">
        <v>0</v>
      </c>
      <c r="L93" s="26">
        <v>0</v>
      </c>
      <c r="M93" s="26">
        <f t="shared" si="0"/>
        <v>53582</v>
      </c>
      <c r="N93" s="15" t="s">
        <v>22</v>
      </c>
      <c r="O93" s="23"/>
      <c r="P93" s="24">
        <v>0</v>
      </c>
      <c r="Q93" s="26">
        <v>0</v>
      </c>
      <c r="R93" s="26">
        <f t="shared" si="0"/>
        <v>38718.5</v>
      </c>
      <c r="S93" s="15" t="s">
        <v>22</v>
      </c>
      <c r="T93" s="23"/>
      <c r="U93" s="24">
        <v>0</v>
      </c>
      <c r="V93" s="26">
        <v>0</v>
      </c>
      <c r="W93" s="26">
        <f t="shared" si="0"/>
        <v>72052.289999999994</v>
      </c>
      <c r="X93" s="22" t="s">
        <v>22</v>
      </c>
    </row>
    <row r="94" spans="1:24" ht="28.5" customHeight="1" x14ac:dyDescent="0.5">
      <c r="A94" s="27" t="s">
        <v>251</v>
      </c>
      <c r="B94" s="27" t="s">
        <v>116</v>
      </c>
      <c r="C94" s="28">
        <v>1</v>
      </c>
      <c r="D94" s="29" t="s">
        <v>117</v>
      </c>
      <c r="E94" s="30">
        <v>4500</v>
      </c>
      <c r="F94" s="30">
        <f t="shared" si="9"/>
        <v>4500</v>
      </c>
      <c r="G94" s="27" t="s">
        <v>252</v>
      </c>
      <c r="H94" s="27" t="s">
        <v>250</v>
      </c>
      <c r="I94" s="27">
        <v>1</v>
      </c>
      <c r="J94" s="27">
        <v>1</v>
      </c>
      <c r="K94" s="28">
        <v>0</v>
      </c>
      <c r="L94" s="30">
        <v>0</v>
      </c>
      <c r="M94" s="30">
        <f t="shared" si="1"/>
        <v>0</v>
      </c>
      <c r="N94" s="15" t="s">
        <v>156</v>
      </c>
      <c r="O94" s="27">
        <v>1</v>
      </c>
      <c r="P94" s="28">
        <v>1</v>
      </c>
      <c r="Q94" s="30">
        <v>18741.25</v>
      </c>
      <c r="R94" s="30">
        <f t="shared" si="1"/>
        <v>18741.25</v>
      </c>
      <c r="S94" s="15" t="s">
        <v>22</v>
      </c>
      <c r="T94" s="27">
        <v>1</v>
      </c>
      <c r="U94" s="28">
        <v>1</v>
      </c>
      <c r="V94" s="30">
        <v>4655.6099999999997</v>
      </c>
      <c r="W94" s="30">
        <f t="shared" si="1"/>
        <v>4655.6099999999997</v>
      </c>
      <c r="X94" s="22" t="s">
        <v>22</v>
      </c>
    </row>
    <row r="95" spans="1:24" ht="28.5" customHeight="1" x14ac:dyDescent="0.5">
      <c r="A95" s="27" t="s">
        <v>253</v>
      </c>
      <c r="B95" s="27" t="s">
        <v>120</v>
      </c>
      <c r="C95" s="28">
        <v>1</v>
      </c>
      <c r="D95" s="29" t="s">
        <v>35</v>
      </c>
      <c r="E95" s="30">
        <v>500</v>
      </c>
      <c r="F95" s="30">
        <f t="shared" si="9"/>
        <v>500</v>
      </c>
      <c r="G95" s="27" t="s">
        <v>254</v>
      </c>
      <c r="H95" s="27" t="s">
        <v>250</v>
      </c>
      <c r="I95" s="27">
        <v>1</v>
      </c>
      <c r="J95" s="27">
        <v>1</v>
      </c>
      <c r="K95" s="28">
        <v>1</v>
      </c>
      <c r="L95" s="30">
        <v>40898</v>
      </c>
      <c r="M95" s="30">
        <f t="shared" si="1"/>
        <v>40898</v>
      </c>
      <c r="N95" s="15" t="s">
        <v>22</v>
      </c>
      <c r="O95" s="27">
        <v>1</v>
      </c>
      <c r="P95" s="28">
        <v>1</v>
      </c>
      <c r="Q95" s="30">
        <v>4876.6499999999996</v>
      </c>
      <c r="R95" s="30">
        <f t="shared" si="1"/>
        <v>4876.6499999999996</v>
      </c>
      <c r="S95" s="15" t="s">
        <v>22</v>
      </c>
      <c r="T95" s="27">
        <v>1</v>
      </c>
      <c r="U95" s="28">
        <v>1</v>
      </c>
      <c r="V95" s="30">
        <v>765.31</v>
      </c>
      <c r="W95" s="30">
        <f t="shared" si="1"/>
        <v>765.31</v>
      </c>
      <c r="X95" s="22" t="s">
        <v>22</v>
      </c>
    </row>
    <row r="96" spans="1:24" ht="28.5" customHeight="1" x14ac:dyDescent="0.5">
      <c r="A96" s="27" t="s">
        <v>255</v>
      </c>
      <c r="B96" s="27" t="s">
        <v>123</v>
      </c>
      <c r="C96" s="28">
        <v>1</v>
      </c>
      <c r="D96" s="29" t="s">
        <v>35</v>
      </c>
      <c r="E96" s="30">
        <v>4000</v>
      </c>
      <c r="F96" s="30">
        <f t="shared" si="9"/>
        <v>4000</v>
      </c>
      <c r="G96" s="27" t="s">
        <v>256</v>
      </c>
      <c r="H96" s="27" t="s">
        <v>250</v>
      </c>
      <c r="I96" s="27">
        <v>1</v>
      </c>
      <c r="J96" s="27">
        <v>1</v>
      </c>
      <c r="K96" s="28">
        <v>0</v>
      </c>
      <c r="L96" s="30">
        <v>0</v>
      </c>
      <c r="M96" s="30">
        <f t="shared" si="1"/>
        <v>0</v>
      </c>
      <c r="N96" s="15" t="s">
        <v>156</v>
      </c>
      <c r="O96" s="27">
        <v>1</v>
      </c>
      <c r="P96" s="28">
        <v>1</v>
      </c>
      <c r="Q96" s="30">
        <v>12052.69</v>
      </c>
      <c r="R96" s="30">
        <f t="shared" si="1"/>
        <v>12052.69</v>
      </c>
      <c r="S96" s="15" t="s">
        <v>22</v>
      </c>
      <c r="T96" s="27">
        <v>1</v>
      </c>
      <c r="U96" s="28">
        <v>1</v>
      </c>
      <c r="V96" s="30">
        <v>47776.78</v>
      </c>
      <c r="W96" s="30">
        <f t="shared" si="1"/>
        <v>47776.78</v>
      </c>
      <c r="X96" s="22" t="s">
        <v>22</v>
      </c>
    </row>
    <row r="97" spans="1:24" ht="28.5" customHeight="1" x14ac:dyDescent="0.5">
      <c r="A97" s="27" t="s">
        <v>257</v>
      </c>
      <c r="B97" s="27" t="s">
        <v>126</v>
      </c>
      <c r="C97" s="28">
        <v>1</v>
      </c>
      <c r="D97" s="29" t="s">
        <v>35</v>
      </c>
      <c r="E97" s="30">
        <v>4000</v>
      </c>
      <c r="F97" s="30">
        <f t="shared" si="9"/>
        <v>4000</v>
      </c>
      <c r="G97" s="27" t="s">
        <v>258</v>
      </c>
      <c r="H97" s="27" t="s">
        <v>250</v>
      </c>
      <c r="I97" s="27">
        <v>1</v>
      </c>
      <c r="J97" s="27">
        <v>1</v>
      </c>
      <c r="K97" s="28">
        <v>1</v>
      </c>
      <c r="L97" s="30">
        <v>12684</v>
      </c>
      <c r="M97" s="30">
        <f t="shared" si="1"/>
        <v>12684</v>
      </c>
      <c r="N97" s="15" t="s">
        <v>22</v>
      </c>
      <c r="O97" s="27">
        <v>1</v>
      </c>
      <c r="P97" s="28">
        <v>1</v>
      </c>
      <c r="Q97" s="30">
        <v>3047.91</v>
      </c>
      <c r="R97" s="30">
        <f t="shared" si="1"/>
        <v>3047.91</v>
      </c>
      <c r="S97" s="15" t="s">
        <v>22</v>
      </c>
      <c r="T97" s="27">
        <v>1</v>
      </c>
      <c r="U97" s="28">
        <v>1</v>
      </c>
      <c r="V97" s="30">
        <v>18854.59</v>
      </c>
      <c r="W97" s="30">
        <f t="shared" si="1"/>
        <v>18854.59</v>
      </c>
      <c r="X97" s="22" t="s">
        <v>22</v>
      </c>
    </row>
    <row r="98" spans="1:24" ht="28.5" customHeight="1" x14ac:dyDescent="0.5">
      <c r="A98" s="46" t="s">
        <v>54</v>
      </c>
      <c r="B98" s="47"/>
      <c r="C98" s="31"/>
      <c r="D98" s="31"/>
      <c r="E98" s="31"/>
      <c r="F98" s="32">
        <f t="shared" ref="F98:W98" si="23">SUMIF($G:$G,"FFA3EB565F1E5B48B877E8FA44129FE8",F:F)</f>
        <v>13000</v>
      </c>
      <c r="G98" s="31"/>
      <c r="H98" s="31"/>
      <c r="I98" s="31"/>
      <c r="J98" s="31"/>
      <c r="K98" s="31"/>
      <c r="L98" s="31"/>
      <c r="M98" s="32">
        <f t="shared" si="23"/>
        <v>53582</v>
      </c>
      <c r="N98" s="31"/>
      <c r="O98" s="31"/>
      <c r="P98" s="31"/>
      <c r="Q98" s="31"/>
      <c r="R98" s="32">
        <f t="shared" si="23"/>
        <v>38718.5</v>
      </c>
      <c r="S98" s="31"/>
      <c r="T98" s="31"/>
      <c r="U98" s="31"/>
      <c r="V98" s="31"/>
      <c r="W98" s="32">
        <f t="shared" si="23"/>
        <v>72052.289999999994</v>
      </c>
      <c r="X98" s="31"/>
    </row>
    <row r="99" spans="1:24" ht="28.5" customHeight="1" x14ac:dyDescent="0.5">
      <c r="A99" s="23" t="s">
        <v>259</v>
      </c>
      <c r="B99" s="23" t="s">
        <v>66</v>
      </c>
      <c r="C99" s="24">
        <v>0</v>
      </c>
      <c r="D99" s="25" t="s">
        <v>22</v>
      </c>
      <c r="E99" s="26">
        <v>0</v>
      </c>
      <c r="F99" s="26">
        <f t="shared" si="0"/>
        <v>1200</v>
      </c>
      <c r="G99" s="23" t="s">
        <v>260</v>
      </c>
      <c r="H99" s="23" t="s">
        <v>248</v>
      </c>
      <c r="I99" s="23"/>
      <c r="J99" s="23"/>
      <c r="K99" s="24">
        <v>0</v>
      </c>
      <c r="L99" s="26">
        <v>0</v>
      </c>
      <c r="M99" s="26">
        <f t="shared" si="0"/>
        <v>1800</v>
      </c>
      <c r="N99" s="15" t="s">
        <v>22</v>
      </c>
      <c r="O99" s="23"/>
      <c r="P99" s="24">
        <v>0</v>
      </c>
      <c r="Q99" s="26">
        <v>0</v>
      </c>
      <c r="R99" s="26">
        <f t="shared" si="0"/>
        <v>6610.18</v>
      </c>
      <c r="S99" s="15" t="s">
        <v>22</v>
      </c>
      <c r="T99" s="23"/>
      <c r="U99" s="24">
        <v>0</v>
      </c>
      <c r="V99" s="26">
        <v>0</v>
      </c>
      <c r="W99" s="26">
        <f t="shared" si="0"/>
        <v>3297.19</v>
      </c>
      <c r="X99" s="22" t="s">
        <v>22</v>
      </c>
    </row>
    <row r="100" spans="1:24" ht="28.5" customHeight="1" x14ac:dyDescent="0.5">
      <c r="A100" s="27" t="s">
        <v>261</v>
      </c>
      <c r="B100" s="27" t="s">
        <v>131</v>
      </c>
      <c r="C100" s="28">
        <v>1</v>
      </c>
      <c r="D100" s="29" t="s">
        <v>35</v>
      </c>
      <c r="E100" s="30">
        <v>700</v>
      </c>
      <c r="F100" s="30">
        <f t="shared" si="9"/>
        <v>700</v>
      </c>
      <c r="G100" s="27" t="s">
        <v>262</v>
      </c>
      <c r="H100" s="27" t="s">
        <v>260</v>
      </c>
      <c r="I100" s="27">
        <v>1</v>
      </c>
      <c r="J100" s="27">
        <v>1</v>
      </c>
      <c r="K100" s="28">
        <v>1</v>
      </c>
      <c r="L100" s="30">
        <v>1800</v>
      </c>
      <c r="M100" s="30">
        <f t="shared" si="1"/>
        <v>1800</v>
      </c>
      <c r="N100" s="15" t="s">
        <v>22</v>
      </c>
      <c r="O100" s="27">
        <v>1</v>
      </c>
      <c r="P100" s="28">
        <v>1</v>
      </c>
      <c r="Q100" s="30">
        <v>477.48</v>
      </c>
      <c r="R100" s="30">
        <f t="shared" si="1"/>
        <v>477.48</v>
      </c>
      <c r="S100" s="15" t="s">
        <v>22</v>
      </c>
      <c r="T100" s="27">
        <v>1</v>
      </c>
      <c r="U100" s="28">
        <v>1</v>
      </c>
      <c r="V100" s="30">
        <v>1511.48</v>
      </c>
      <c r="W100" s="30">
        <f t="shared" si="1"/>
        <v>1511.48</v>
      </c>
      <c r="X100" s="22" t="s">
        <v>22</v>
      </c>
    </row>
    <row r="101" spans="1:24" ht="28.5" customHeight="1" x14ac:dyDescent="0.5">
      <c r="A101" s="27" t="s">
        <v>263</v>
      </c>
      <c r="B101" s="27" t="s">
        <v>134</v>
      </c>
      <c r="C101" s="28">
        <v>1</v>
      </c>
      <c r="D101" s="29" t="s">
        <v>35</v>
      </c>
      <c r="E101" s="30">
        <v>500</v>
      </c>
      <c r="F101" s="30">
        <f t="shared" si="9"/>
        <v>500</v>
      </c>
      <c r="G101" s="27" t="s">
        <v>264</v>
      </c>
      <c r="H101" s="27" t="s">
        <v>260</v>
      </c>
      <c r="I101" s="27">
        <v>1</v>
      </c>
      <c r="J101" s="27">
        <v>1</v>
      </c>
      <c r="K101" s="28">
        <v>0</v>
      </c>
      <c r="L101" s="30">
        <v>0</v>
      </c>
      <c r="M101" s="30">
        <f t="shared" si="1"/>
        <v>0</v>
      </c>
      <c r="N101" s="15" t="s">
        <v>156</v>
      </c>
      <c r="O101" s="27">
        <v>1</v>
      </c>
      <c r="P101" s="28">
        <v>1</v>
      </c>
      <c r="Q101" s="30">
        <v>6132.7</v>
      </c>
      <c r="R101" s="30">
        <f t="shared" si="1"/>
        <v>6132.7</v>
      </c>
      <c r="S101" s="15" t="s">
        <v>22</v>
      </c>
      <c r="T101" s="27">
        <v>1</v>
      </c>
      <c r="U101" s="28">
        <v>1</v>
      </c>
      <c r="V101" s="30">
        <v>1785.71</v>
      </c>
      <c r="W101" s="30">
        <f t="shared" si="1"/>
        <v>1785.71</v>
      </c>
      <c r="X101" s="22" t="s">
        <v>22</v>
      </c>
    </row>
    <row r="102" spans="1:24" ht="28.5" customHeight="1" x14ac:dyDescent="0.5">
      <c r="A102" s="46" t="s">
        <v>80</v>
      </c>
      <c r="B102" s="47"/>
      <c r="C102" s="31"/>
      <c r="D102" s="31"/>
      <c r="E102" s="31"/>
      <c r="F102" s="32">
        <f t="shared" ref="F102:W102" si="24">SUMIF($G:$G,"0185DDFDFD977C43A5E52C87DAF87DCC",F:F)</f>
        <v>1200</v>
      </c>
      <c r="G102" s="31"/>
      <c r="H102" s="31"/>
      <c r="I102" s="31"/>
      <c r="J102" s="31"/>
      <c r="K102" s="31"/>
      <c r="L102" s="31"/>
      <c r="M102" s="32">
        <f t="shared" si="24"/>
        <v>1800</v>
      </c>
      <c r="N102" s="31"/>
      <c r="O102" s="31"/>
      <c r="P102" s="31"/>
      <c r="Q102" s="31"/>
      <c r="R102" s="32">
        <f t="shared" si="24"/>
        <v>6610.18</v>
      </c>
      <c r="S102" s="31"/>
      <c r="T102" s="31"/>
      <c r="U102" s="31"/>
      <c r="V102" s="31"/>
      <c r="W102" s="32">
        <f t="shared" si="24"/>
        <v>3297.19</v>
      </c>
      <c r="X102" s="31"/>
    </row>
    <row r="103" spans="1:24" ht="28.5" customHeight="1" x14ac:dyDescent="0.5">
      <c r="A103" s="23" t="s">
        <v>265</v>
      </c>
      <c r="B103" s="23" t="s">
        <v>137</v>
      </c>
      <c r="C103" s="24">
        <v>0</v>
      </c>
      <c r="D103" s="25" t="s">
        <v>22</v>
      </c>
      <c r="E103" s="26">
        <v>0</v>
      </c>
      <c r="F103" s="26">
        <f t="shared" si="0"/>
        <v>0</v>
      </c>
      <c r="G103" s="23" t="s">
        <v>266</v>
      </c>
      <c r="H103" s="23" t="s">
        <v>248</v>
      </c>
      <c r="I103" s="23"/>
      <c r="J103" s="23"/>
      <c r="K103" s="24">
        <v>0</v>
      </c>
      <c r="L103" s="26">
        <v>0</v>
      </c>
      <c r="M103" s="26">
        <f t="shared" si="0"/>
        <v>0</v>
      </c>
      <c r="N103" s="15" t="s">
        <v>22</v>
      </c>
      <c r="O103" s="23"/>
      <c r="P103" s="24">
        <v>0</v>
      </c>
      <c r="Q103" s="26">
        <v>0</v>
      </c>
      <c r="R103" s="26">
        <f t="shared" si="0"/>
        <v>0</v>
      </c>
      <c r="S103" s="15" t="s">
        <v>22</v>
      </c>
      <c r="T103" s="23"/>
      <c r="U103" s="24">
        <v>0</v>
      </c>
      <c r="V103" s="26">
        <v>0</v>
      </c>
      <c r="W103" s="26">
        <f t="shared" si="0"/>
        <v>0</v>
      </c>
      <c r="X103" s="22" t="s">
        <v>22</v>
      </c>
    </row>
    <row r="104" spans="1:24" ht="28.5" customHeight="1" x14ac:dyDescent="0.5">
      <c r="A104" s="27" t="s">
        <v>267</v>
      </c>
      <c r="B104" s="27" t="s">
        <v>140</v>
      </c>
      <c r="C104" s="28">
        <v>0</v>
      </c>
      <c r="D104" s="29" t="s">
        <v>141</v>
      </c>
      <c r="E104" s="30">
        <v>0</v>
      </c>
      <c r="F104" s="30">
        <v>0</v>
      </c>
      <c r="G104" s="27" t="s">
        <v>268</v>
      </c>
      <c r="H104" s="27" t="s">
        <v>266</v>
      </c>
      <c r="I104" s="27">
        <v>1</v>
      </c>
      <c r="J104" s="27">
        <v>1</v>
      </c>
      <c r="K104" s="28">
        <v>0</v>
      </c>
      <c r="L104" s="30">
        <v>0</v>
      </c>
      <c r="M104" s="30">
        <f t="shared" si="1"/>
        <v>0</v>
      </c>
      <c r="N104" s="15" t="s">
        <v>22</v>
      </c>
      <c r="O104" s="27">
        <v>1</v>
      </c>
      <c r="P104" s="28">
        <v>0</v>
      </c>
      <c r="Q104" s="30">
        <v>0</v>
      </c>
      <c r="R104" s="30">
        <f t="shared" si="1"/>
        <v>0</v>
      </c>
      <c r="S104" s="15" t="s">
        <v>22</v>
      </c>
      <c r="T104" s="27">
        <v>1</v>
      </c>
      <c r="U104" s="28">
        <v>0</v>
      </c>
      <c r="V104" s="30">
        <v>0</v>
      </c>
      <c r="W104" s="30">
        <f t="shared" si="1"/>
        <v>0</v>
      </c>
      <c r="X104" s="22" t="s">
        <v>22</v>
      </c>
    </row>
    <row r="105" spans="1:24" ht="28.5" customHeight="1" x14ac:dyDescent="0.5">
      <c r="A105" s="27" t="s">
        <v>269</v>
      </c>
      <c r="B105" s="27" t="s">
        <v>144</v>
      </c>
      <c r="C105" s="28">
        <v>0</v>
      </c>
      <c r="D105" s="29" t="s">
        <v>141</v>
      </c>
      <c r="E105" s="30">
        <v>0</v>
      </c>
      <c r="F105" s="30">
        <v>0</v>
      </c>
      <c r="G105" s="27" t="s">
        <v>270</v>
      </c>
      <c r="H105" s="27" t="s">
        <v>266</v>
      </c>
      <c r="I105" s="27">
        <v>1</v>
      </c>
      <c r="J105" s="27">
        <v>1</v>
      </c>
      <c r="K105" s="28">
        <v>0</v>
      </c>
      <c r="L105" s="30">
        <v>0</v>
      </c>
      <c r="M105" s="30">
        <f t="shared" si="1"/>
        <v>0</v>
      </c>
      <c r="N105" s="15" t="s">
        <v>22</v>
      </c>
      <c r="O105" s="27">
        <v>1</v>
      </c>
      <c r="P105" s="28">
        <v>0</v>
      </c>
      <c r="Q105" s="30">
        <v>0</v>
      </c>
      <c r="R105" s="30">
        <f t="shared" si="1"/>
        <v>0</v>
      </c>
      <c r="S105" s="15" t="s">
        <v>22</v>
      </c>
      <c r="T105" s="27">
        <v>1</v>
      </c>
      <c r="U105" s="28">
        <v>0</v>
      </c>
      <c r="V105" s="30">
        <v>0</v>
      </c>
      <c r="W105" s="30">
        <f t="shared" si="1"/>
        <v>0</v>
      </c>
      <c r="X105" s="22" t="s">
        <v>22</v>
      </c>
    </row>
    <row r="106" spans="1:24" ht="28.5" customHeight="1" x14ac:dyDescent="0.5">
      <c r="A106" s="46" t="s">
        <v>146</v>
      </c>
      <c r="B106" s="47"/>
      <c r="C106" s="31"/>
      <c r="D106" s="31"/>
      <c r="E106" s="31"/>
      <c r="F106" s="32">
        <f t="shared" ref="F106:W106" si="25">SUMIF($G:$G,"A50AE0E473CDF94D8A61DEBA6D9A9121",F:F)</f>
        <v>0</v>
      </c>
      <c r="G106" s="31"/>
      <c r="H106" s="31"/>
      <c r="I106" s="31"/>
      <c r="J106" s="31"/>
      <c r="K106" s="31"/>
      <c r="L106" s="31"/>
      <c r="M106" s="32">
        <f t="shared" si="25"/>
        <v>0</v>
      </c>
      <c r="N106" s="31"/>
      <c r="O106" s="31"/>
      <c r="P106" s="31"/>
      <c r="Q106" s="31"/>
      <c r="R106" s="32">
        <f t="shared" si="25"/>
        <v>0</v>
      </c>
      <c r="S106" s="31"/>
      <c r="T106" s="31"/>
      <c r="U106" s="31"/>
      <c r="V106" s="31"/>
      <c r="W106" s="32">
        <f t="shared" si="25"/>
        <v>0</v>
      </c>
      <c r="X106" s="31"/>
    </row>
    <row r="107" spans="1:24" ht="28.5" customHeight="1" x14ac:dyDescent="0.5">
      <c r="A107" s="23" t="s">
        <v>271</v>
      </c>
      <c r="B107" s="23" t="s">
        <v>148</v>
      </c>
      <c r="C107" s="24">
        <v>0</v>
      </c>
      <c r="D107" s="25" t="s">
        <v>22</v>
      </c>
      <c r="E107" s="26">
        <v>0</v>
      </c>
      <c r="F107" s="26">
        <f t="shared" si="0"/>
        <v>16200</v>
      </c>
      <c r="G107" s="23" t="s">
        <v>272</v>
      </c>
      <c r="H107" s="23" t="s">
        <v>248</v>
      </c>
      <c r="I107" s="23"/>
      <c r="J107" s="23"/>
      <c r="K107" s="24">
        <v>0</v>
      </c>
      <c r="L107" s="26">
        <v>0</v>
      </c>
      <c r="M107" s="26">
        <f t="shared" si="0"/>
        <v>10361.099999999999</v>
      </c>
      <c r="N107" s="15" t="s">
        <v>22</v>
      </c>
      <c r="O107" s="23"/>
      <c r="P107" s="24">
        <v>0</v>
      </c>
      <c r="Q107" s="26">
        <v>0</v>
      </c>
      <c r="R107" s="26">
        <f t="shared" si="0"/>
        <v>22829.07</v>
      </c>
      <c r="S107" s="15" t="s">
        <v>22</v>
      </c>
      <c r="T107" s="23"/>
      <c r="U107" s="24">
        <v>0</v>
      </c>
      <c r="V107" s="26">
        <v>0</v>
      </c>
      <c r="W107" s="26">
        <f t="shared" si="0"/>
        <v>17021.78</v>
      </c>
      <c r="X107" s="22" t="s">
        <v>22</v>
      </c>
    </row>
    <row r="108" spans="1:24" ht="28.5" customHeight="1" x14ac:dyDescent="0.5">
      <c r="A108" s="27" t="s">
        <v>273</v>
      </c>
      <c r="B108" s="27" t="s">
        <v>274</v>
      </c>
      <c r="C108" s="28">
        <v>20</v>
      </c>
      <c r="D108" s="29" t="s">
        <v>8</v>
      </c>
      <c r="E108" s="30">
        <v>500</v>
      </c>
      <c r="F108" s="30">
        <f t="shared" si="9"/>
        <v>10000</v>
      </c>
      <c r="G108" s="27" t="s">
        <v>275</v>
      </c>
      <c r="H108" s="27" t="s">
        <v>272</v>
      </c>
      <c r="I108" s="27">
        <v>1</v>
      </c>
      <c r="J108" s="27">
        <v>1</v>
      </c>
      <c r="K108" s="28">
        <v>20</v>
      </c>
      <c r="L108" s="30">
        <v>273.17</v>
      </c>
      <c r="M108" s="30">
        <f t="shared" si="1"/>
        <v>5463.4</v>
      </c>
      <c r="N108" s="15" t="s">
        <v>22</v>
      </c>
      <c r="O108" s="27">
        <v>1</v>
      </c>
      <c r="P108" s="28">
        <v>19</v>
      </c>
      <c r="Q108" s="30">
        <v>512.80999999999995</v>
      </c>
      <c r="R108" s="30">
        <f t="shared" si="1"/>
        <v>9743.39</v>
      </c>
      <c r="S108" s="15" t="s">
        <v>22</v>
      </c>
      <c r="T108" s="27">
        <v>1</v>
      </c>
      <c r="U108" s="28">
        <v>20</v>
      </c>
      <c r="V108" s="30">
        <v>364.8</v>
      </c>
      <c r="W108" s="30">
        <f t="shared" si="1"/>
        <v>7296</v>
      </c>
      <c r="X108" s="22" t="s">
        <v>22</v>
      </c>
    </row>
    <row r="109" spans="1:24" ht="28.5" customHeight="1" x14ac:dyDescent="0.5">
      <c r="A109" s="27" t="s">
        <v>276</v>
      </c>
      <c r="B109" s="27" t="s">
        <v>277</v>
      </c>
      <c r="C109" s="28">
        <v>4</v>
      </c>
      <c r="D109" s="29" t="s">
        <v>8</v>
      </c>
      <c r="E109" s="30">
        <v>300</v>
      </c>
      <c r="F109" s="30">
        <f t="shared" si="9"/>
        <v>1200</v>
      </c>
      <c r="G109" s="27" t="s">
        <v>278</v>
      </c>
      <c r="H109" s="27" t="s">
        <v>272</v>
      </c>
      <c r="I109" s="27">
        <v>1</v>
      </c>
      <c r="J109" s="27">
        <v>1</v>
      </c>
      <c r="K109" s="28">
        <v>10</v>
      </c>
      <c r="L109" s="30">
        <v>273.17</v>
      </c>
      <c r="M109" s="30">
        <f t="shared" si="1"/>
        <v>2731.7</v>
      </c>
      <c r="N109" s="15" t="s">
        <v>22</v>
      </c>
      <c r="O109" s="27">
        <v>1</v>
      </c>
      <c r="P109" s="28">
        <v>5</v>
      </c>
      <c r="Q109" s="30">
        <v>512.80999999999995</v>
      </c>
      <c r="R109" s="30">
        <f t="shared" si="1"/>
        <v>2564.0500000000002</v>
      </c>
      <c r="S109" s="15" t="s">
        <v>22</v>
      </c>
      <c r="T109" s="27">
        <v>1</v>
      </c>
      <c r="U109" s="28">
        <v>10</v>
      </c>
      <c r="V109" s="30">
        <v>182.4</v>
      </c>
      <c r="W109" s="30">
        <f t="shared" si="1"/>
        <v>1824</v>
      </c>
      <c r="X109" s="22" t="s">
        <v>22</v>
      </c>
    </row>
    <row r="110" spans="1:24" ht="28.5" customHeight="1" x14ac:dyDescent="0.5">
      <c r="A110" s="27" t="s">
        <v>279</v>
      </c>
      <c r="B110" s="27" t="s">
        <v>154</v>
      </c>
      <c r="C110" s="28">
        <v>1</v>
      </c>
      <c r="D110" s="29" t="s">
        <v>117</v>
      </c>
      <c r="E110" s="30">
        <v>5000</v>
      </c>
      <c r="F110" s="30">
        <f t="shared" si="9"/>
        <v>5000</v>
      </c>
      <c r="G110" s="27" t="s">
        <v>280</v>
      </c>
      <c r="H110" s="27" t="s">
        <v>272</v>
      </c>
      <c r="I110" s="27">
        <v>1</v>
      </c>
      <c r="J110" s="27">
        <v>1</v>
      </c>
      <c r="K110" s="28">
        <v>1</v>
      </c>
      <c r="L110" s="30">
        <v>2166</v>
      </c>
      <c r="M110" s="30">
        <f t="shared" si="1"/>
        <v>2166</v>
      </c>
      <c r="N110" s="15" t="s">
        <v>22</v>
      </c>
      <c r="O110" s="27">
        <v>1</v>
      </c>
      <c r="P110" s="28">
        <v>1</v>
      </c>
      <c r="Q110" s="30">
        <v>10521.63</v>
      </c>
      <c r="R110" s="30">
        <f t="shared" si="1"/>
        <v>10521.63</v>
      </c>
      <c r="S110" s="15" t="s">
        <v>22</v>
      </c>
      <c r="T110" s="27">
        <v>1</v>
      </c>
      <c r="U110" s="28">
        <v>1</v>
      </c>
      <c r="V110" s="30">
        <v>7901.78</v>
      </c>
      <c r="W110" s="30">
        <f t="shared" si="1"/>
        <v>7901.78</v>
      </c>
      <c r="X110" s="22" t="s">
        <v>281</v>
      </c>
    </row>
    <row r="111" spans="1:24" ht="28.5" customHeight="1" x14ac:dyDescent="0.5">
      <c r="A111" s="46" t="s">
        <v>157</v>
      </c>
      <c r="B111" s="47"/>
      <c r="C111" s="31"/>
      <c r="D111" s="31"/>
      <c r="E111" s="31"/>
      <c r="F111" s="32">
        <f t="shared" ref="F111:W111" si="26">SUMIF($G:$G,"ECDC4F48B7EA704B9503DD0C0DC8C84B",F:F)</f>
        <v>16200</v>
      </c>
      <c r="G111" s="31"/>
      <c r="H111" s="31"/>
      <c r="I111" s="31"/>
      <c r="J111" s="31"/>
      <c r="K111" s="31"/>
      <c r="L111" s="31"/>
      <c r="M111" s="32">
        <f t="shared" si="26"/>
        <v>10361.099999999999</v>
      </c>
      <c r="N111" s="31"/>
      <c r="O111" s="31"/>
      <c r="P111" s="31"/>
      <c r="Q111" s="31"/>
      <c r="R111" s="32">
        <f t="shared" si="26"/>
        <v>22829.07</v>
      </c>
      <c r="S111" s="31"/>
      <c r="T111" s="31"/>
      <c r="U111" s="31"/>
      <c r="V111" s="31"/>
      <c r="W111" s="32">
        <f t="shared" si="26"/>
        <v>17021.78</v>
      </c>
      <c r="X111" s="31"/>
    </row>
    <row r="112" spans="1:24" ht="28.5" customHeight="1" x14ac:dyDescent="0.5">
      <c r="A112" s="18" t="s">
        <v>282</v>
      </c>
      <c r="B112" s="18" t="s">
        <v>159</v>
      </c>
      <c r="C112" s="19">
        <v>0</v>
      </c>
      <c r="D112" s="20" t="s">
        <v>22</v>
      </c>
      <c r="E112" s="21">
        <v>0</v>
      </c>
      <c r="F112" s="21">
        <f t="shared" si="0"/>
        <v>7450</v>
      </c>
      <c r="G112" s="18" t="s">
        <v>283</v>
      </c>
      <c r="H112" s="18" t="s">
        <v>244</v>
      </c>
      <c r="I112" s="18"/>
      <c r="J112" s="18"/>
      <c r="K112" s="19">
        <v>0</v>
      </c>
      <c r="L112" s="21">
        <v>0</v>
      </c>
      <c r="M112" s="21">
        <f t="shared" si="0"/>
        <v>8008</v>
      </c>
      <c r="N112" s="15" t="s">
        <v>22</v>
      </c>
      <c r="O112" s="18"/>
      <c r="P112" s="19">
        <v>0</v>
      </c>
      <c r="Q112" s="21">
        <v>0</v>
      </c>
      <c r="R112" s="21">
        <f t="shared" si="0"/>
        <v>28226.399999999998</v>
      </c>
      <c r="S112" s="15" t="s">
        <v>22</v>
      </c>
      <c r="T112" s="18"/>
      <c r="U112" s="19">
        <v>0</v>
      </c>
      <c r="V112" s="21">
        <v>0</v>
      </c>
      <c r="W112" s="21">
        <f t="shared" si="0"/>
        <v>31983.059999999998</v>
      </c>
      <c r="X112" s="22" t="s">
        <v>22</v>
      </c>
    </row>
    <row r="113" spans="1:24" ht="28.5" customHeight="1" x14ac:dyDescent="0.5">
      <c r="A113" s="27" t="s">
        <v>284</v>
      </c>
      <c r="B113" s="27" t="s">
        <v>225</v>
      </c>
      <c r="C113" s="28">
        <v>30</v>
      </c>
      <c r="D113" s="29" t="s">
        <v>236</v>
      </c>
      <c r="E113" s="30">
        <v>50</v>
      </c>
      <c r="F113" s="30">
        <f t="shared" si="9"/>
        <v>1500</v>
      </c>
      <c r="G113" s="27" t="s">
        <v>285</v>
      </c>
      <c r="H113" s="27" t="s">
        <v>283</v>
      </c>
      <c r="I113" s="27">
        <v>1</v>
      </c>
      <c r="J113" s="27">
        <v>1</v>
      </c>
      <c r="K113" s="28">
        <v>1</v>
      </c>
      <c r="L113" s="30">
        <v>1456</v>
      </c>
      <c r="M113" s="30">
        <f t="shared" si="1"/>
        <v>1456</v>
      </c>
      <c r="N113" s="15" t="s">
        <v>22</v>
      </c>
      <c r="O113" s="27">
        <v>1</v>
      </c>
      <c r="P113" s="28">
        <v>30</v>
      </c>
      <c r="Q113" s="30">
        <v>187.31</v>
      </c>
      <c r="R113" s="30">
        <f t="shared" si="1"/>
        <v>5619.3</v>
      </c>
      <c r="S113" s="15" t="s">
        <v>286</v>
      </c>
      <c r="T113" s="27">
        <v>1</v>
      </c>
      <c r="U113" s="28">
        <v>26</v>
      </c>
      <c r="V113" s="30">
        <v>217.8</v>
      </c>
      <c r="W113" s="30">
        <f t="shared" si="1"/>
        <v>5662.8</v>
      </c>
      <c r="X113" s="22" t="s">
        <v>22</v>
      </c>
    </row>
    <row r="114" spans="1:24" ht="28.5" customHeight="1" x14ac:dyDescent="0.5">
      <c r="A114" s="27" t="s">
        <v>287</v>
      </c>
      <c r="B114" s="27" t="s">
        <v>225</v>
      </c>
      <c r="C114" s="28">
        <v>85</v>
      </c>
      <c r="D114" s="29" t="s">
        <v>236</v>
      </c>
      <c r="E114" s="30">
        <v>70</v>
      </c>
      <c r="F114" s="30">
        <f t="shared" si="9"/>
        <v>5950</v>
      </c>
      <c r="G114" s="27" t="s">
        <v>288</v>
      </c>
      <c r="H114" s="27" t="s">
        <v>283</v>
      </c>
      <c r="I114" s="27">
        <v>1</v>
      </c>
      <c r="J114" s="27">
        <v>1</v>
      </c>
      <c r="K114" s="28">
        <v>3</v>
      </c>
      <c r="L114" s="30">
        <v>2184</v>
      </c>
      <c r="M114" s="30">
        <f t="shared" si="1"/>
        <v>6552</v>
      </c>
      <c r="N114" s="15" t="s">
        <v>22</v>
      </c>
      <c r="O114" s="27">
        <v>1</v>
      </c>
      <c r="P114" s="28">
        <v>81</v>
      </c>
      <c r="Q114" s="30">
        <v>279.10000000000002</v>
      </c>
      <c r="R114" s="30">
        <f t="shared" si="1"/>
        <v>22607.1</v>
      </c>
      <c r="S114" s="15" t="s">
        <v>286</v>
      </c>
      <c r="T114" s="27">
        <v>1</v>
      </c>
      <c r="U114" s="28">
        <v>3</v>
      </c>
      <c r="V114" s="30">
        <v>8773.42</v>
      </c>
      <c r="W114" s="30">
        <f t="shared" si="1"/>
        <v>26320.26</v>
      </c>
      <c r="X114" s="22" t="s">
        <v>22</v>
      </c>
    </row>
    <row r="115" spans="1:24" ht="28.5" customHeight="1" x14ac:dyDescent="0.5">
      <c r="A115" s="44" t="s">
        <v>289</v>
      </c>
      <c r="B115" s="45"/>
      <c r="C115" s="16"/>
      <c r="D115" s="16"/>
      <c r="E115" s="16"/>
      <c r="F115" s="17">
        <f t="shared" ref="F115:W115" si="27">SUMIF($G:$G,"33B4CF271E0D21429B01D5CBF9161FE0",F:F)</f>
        <v>37850</v>
      </c>
      <c r="G115" s="16"/>
      <c r="H115" s="16"/>
      <c r="I115" s="16"/>
      <c r="J115" s="16"/>
      <c r="K115" s="16"/>
      <c r="L115" s="16"/>
      <c r="M115" s="17">
        <f t="shared" si="27"/>
        <v>73751.100000000006</v>
      </c>
      <c r="N115" s="16"/>
      <c r="O115" s="16"/>
      <c r="P115" s="16"/>
      <c r="Q115" s="16"/>
      <c r="R115" s="17">
        <f t="shared" si="27"/>
        <v>96384.15</v>
      </c>
      <c r="S115" s="16"/>
      <c r="T115" s="16"/>
      <c r="U115" s="16"/>
      <c r="V115" s="16"/>
      <c r="W115" s="17">
        <f t="shared" si="27"/>
        <v>124354.31999999999</v>
      </c>
      <c r="X115" s="16"/>
    </row>
    <row r="116" spans="1:24" ht="28.5" customHeight="1" x14ac:dyDescent="0.5">
      <c r="A116" s="8" t="s">
        <v>290</v>
      </c>
      <c r="B116" s="8" t="s">
        <v>291</v>
      </c>
      <c r="C116" s="8"/>
      <c r="D116" s="8"/>
      <c r="E116" s="8"/>
      <c r="F116" s="9">
        <f t="shared" si="0"/>
        <v>3000</v>
      </c>
      <c r="G116" s="8" t="s">
        <v>292</v>
      </c>
      <c r="H116" s="8" t="s">
        <v>19</v>
      </c>
      <c r="I116" s="8"/>
      <c r="J116" s="8"/>
      <c r="K116" s="8"/>
      <c r="L116" s="8"/>
      <c r="M116" s="9">
        <f t="shared" si="0"/>
        <v>520</v>
      </c>
      <c r="N116" s="10"/>
      <c r="O116" s="8"/>
      <c r="P116" s="8"/>
      <c r="Q116" s="8"/>
      <c r="R116" s="9">
        <f t="shared" si="0"/>
        <v>3944.31</v>
      </c>
      <c r="S116" s="10"/>
      <c r="T116" s="8"/>
      <c r="U116" s="8"/>
      <c r="V116" s="8"/>
      <c r="W116" s="9">
        <f t="shared" si="0"/>
        <v>3918.88</v>
      </c>
      <c r="X116" s="11"/>
    </row>
    <row r="117" spans="1:24" ht="28.5" customHeight="1" x14ac:dyDescent="0.5">
      <c r="A117" s="18" t="s">
        <v>293</v>
      </c>
      <c r="B117" s="18" t="s">
        <v>86</v>
      </c>
      <c r="C117" s="19">
        <v>0</v>
      </c>
      <c r="D117" s="20" t="s">
        <v>22</v>
      </c>
      <c r="E117" s="21">
        <v>0</v>
      </c>
      <c r="F117" s="21">
        <f t="shared" si="7"/>
        <v>0</v>
      </c>
      <c r="G117" s="18" t="s">
        <v>294</v>
      </c>
      <c r="H117" s="18" t="s">
        <v>292</v>
      </c>
      <c r="I117" s="18">
        <v>1</v>
      </c>
      <c r="J117" s="18">
        <v>1</v>
      </c>
      <c r="K117" s="19">
        <v>0</v>
      </c>
      <c r="L117" s="21">
        <v>0</v>
      </c>
      <c r="M117" s="21">
        <f t="shared" si="8"/>
        <v>0</v>
      </c>
      <c r="N117" s="15" t="s">
        <v>22</v>
      </c>
      <c r="O117" s="18">
        <v>1</v>
      </c>
      <c r="P117" s="19">
        <v>0</v>
      </c>
      <c r="Q117" s="21">
        <v>0</v>
      </c>
      <c r="R117" s="21">
        <f t="shared" si="8"/>
        <v>0</v>
      </c>
      <c r="S117" s="15" t="s">
        <v>22</v>
      </c>
      <c r="T117" s="18">
        <v>1</v>
      </c>
      <c r="U117" s="19">
        <v>0</v>
      </c>
      <c r="V117" s="21">
        <v>0</v>
      </c>
      <c r="W117" s="21">
        <f t="shared" si="8"/>
        <v>0</v>
      </c>
      <c r="X117" s="22" t="s">
        <v>22</v>
      </c>
    </row>
    <row r="118" spans="1:24" ht="28.5" customHeight="1" x14ac:dyDescent="0.5">
      <c r="A118" s="18" t="s">
        <v>295</v>
      </c>
      <c r="B118" s="18" t="s">
        <v>296</v>
      </c>
      <c r="C118" s="19">
        <v>0</v>
      </c>
      <c r="D118" s="20" t="s">
        <v>22</v>
      </c>
      <c r="E118" s="21">
        <v>0</v>
      </c>
      <c r="F118" s="21">
        <f t="shared" si="0"/>
        <v>3000</v>
      </c>
      <c r="G118" s="18" t="s">
        <v>297</v>
      </c>
      <c r="H118" s="18" t="s">
        <v>292</v>
      </c>
      <c r="I118" s="18"/>
      <c r="J118" s="18"/>
      <c r="K118" s="19">
        <v>0</v>
      </c>
      <c r="L118" s="21">
        <v>0</v>
      </c>
      <c r="M118" s="21">
        <f t="shared" si="0"/>
        <v>520</v>
      </c>
      <c r="N118" s="15" t="s">
        <v>22</v>
      </c>
      <c r="O118" s="18"/>
      <c r="P118" s="19">
        <v>0</v>
      </c>
      <c r="Q118" s="21">
        <v>0</v>
      </c>
      <c r="R118" s="21">
        <f t="shared" si="0"/>
        <v>3944.31</v>
      </c>
      <c r="S118" s="15" t="s">
        <v>22</v>
      </c>
      <c r="T118" s="18"/>
      <c r="U118" s="19">
        <v>0</v>
      </c>
      <c r="V118" s="21">
        <v>0</v>
      </c>
      <c r="W118" s="21">
        <f t="shared" si="0"/>
        <v>3918.88</v>
      </c>
      <c r="X118" s="22" t="s">
        <v>22</v>
      </c>
    </row>
    <row r="119" spans="1:24" ht="28.5" customHeight="1" x14ac:dyDescent="0.5">
      <c r="A119" s="27" t="s">
        <v>298</v>
      </c>
      <c r="B119" s="27" t="s">
        <v>299</v>
      </c>
      <c r="C119" s="28">
        <v>1</v>
      </c>
      <c r="D119" s="29" t="s">
        <v>35</v>
      </c>
      <c r="E119" s="30">
        <v>3000</v>
      </c>
      <c r="F119" s="30">
        <f t="shared" si="9"/>
        <v>3000</v>
      </c>
      <c r="G119" s="27" t="s">
        <v>300</v>
      </c>
      <c r="H119" s="27" t="s">
        <v>297</v>
      </c>
      <c r="I119" s="27">
        <v>1</v>
      </c>
      <c r="J119" s="27">
        <v>1</v>
      </c>
      <c r="K119" s="28">
        <v>1</v>
      </c>
      <c r="L119" s="30">
        <v>520</v>
      </c>
      <c r="M119" s="30">
        <f t="shared" si="1"/>
        <v>520</v>
      </c>
      <c r="N119" s="15" t="s">
        <v>22</v>
      </c>
      <c r="O119" s="27">
        <v>1</v>
      </c>
      <c r="P119" s="28">
        <v>1</v>
      </c>
      <c r="Q119" s="30">
        <v>3944.31</v>
      </c>
      <c r="R119" s="30">
        <f t="shared" si="1"/>
        <v>3944.31</v>
      </c>
      <c r="S119" s="15" t="s">
        <v>22</v>
      </c>
      <c r="T119" s="27">
        <v>1</v>
      </c>
      <c r="U119" s="28">
        <v>8</v>
      </c>
      <c r="V119" s="30">
        <v>489.86</v>
      </c>
      <c r="W119" s="30">
        <f t="shared" si="1"/>
        <v>3918.88</v>
      </c>
      <c r="X119" s="22" t="s">
        <v>193</v>
      </c>
    </row>
    <row r="120" spans="1:24" ht="28.5" customHeight="1" x14ac:dyDescent="0.5">
      <c r="A120" s="44" t="s">
        <v>301</v>
      </c>
      <c r="B120" s="45"/>
      <c r="C120" s="16"/>
      <c r="D120" s="16"/>
      <c r="E120" s="16"/>
      <c r="F120" s="17">
        <f t="shared" ref="F120:W120" si="28">SUMIF($G:$G,"1114B46397C32945A10F360A55909258",F:F)</f>
        <v>3000</v>
      </c>
      <c r="G120" s="16"/>
      <c r="H120" s="16"/>
      <c r="I120" s="16"/>
      <c r="J120" s="16"/>
      <c r="K120" s="16"/>
      <c r="L120" s="16"/>
      <c r="M120" s="17">
        <f t="shared" si="28"/>
        <v>520</v>
      </c>
      <c r="N120" s="16"/>
      <c r="O120" s="16"/>
      <c r="P120" s="16"/>
      <c r="Q120" s="16"/>
      <c r="R120" s="17">
        <f t="shared" si="28"/>
        <v>3944.31</v>
      </c>
      <c r="S120" s="16"/>
      <c r="T120" s="16"/>
      <c r="U120" s="16"/>
      <c r="V120" s="16"/>
      <c r="W120" s="17">
        <f t="shared" si="28"/>
        <v>3918.88</v>
      </c>
      <c r="X120" s="16"/>
    </row>
    <row r="121" spans="1:24" ht="28.5" customHeight="1" x14ac:dyDescent="0.5">
      <c r="A121" s="8" t="s">
        <v>302</v>
      </c>
      <c r="B121" s="8" t="s">
        <v>303</v>
      </c>
      <c r="C121" s="8"/>
      <c r="D121" s="8"/>
      <c r="E121" s="8"/>
      <c r="F121" s="9">
        <f t="shared" si="0"/>
        <v>6340</v>
      </c>
      <c r="G121" s="8" t="s">
        <v>304</v>
      </c>
      <c r="H121" s="8" t="s">
        <v>19</v>
      </c>
      <c r="I121" s="8"/>
      <c r="J121" s="8"/>
      <c r="K121" s="8"/>
      <c r="L121" s="8"/>
      <c r="M121" s="9">
        <f t="shared" si="0"/>
        <v>5782</v>
      </c>
      <c r="N121" s="10"/>
      <c r="O121" s="8"/>
      <c r="P121" s="8"/>
      <c r="Q121" s="8"/>
      <c r="R121" s="9">
        <f t="shared" si="0"/>
        <v>15986.92</v>
      </c>
      <c r="S121" s="10"/>
      <c r="T121" s="8"/>
      <c r="U121" s="8"/>
      <c r="V121" s="8"/>
      <c r="W121" s="9">
        <f t="shared" si="0"/>
        <v>17080.71</v>
      </c>
      <c r="X121" s="11"/>
    </row>
    <row r="122" spans="1:24" ht="28.5" customHeight="1" x14ac:dyDescent="0.5">
      <c r="A122" s="18" t="s">
        <v>305</v>
      </c>
      <c r="B122" s="18" t="s">
        <v>86</v>
      </c>
      <c r="C122" s="19">
        <v>0</v>
      </c>
      <c r="D122" s="20" t="s">
        <v>22</v>
      </c>
      <c r="E122" s="21">
        <v>0</v>
      </c>
      <c r="F122" s="21">
        <f t="shared" si="7"/>
        <v>0</v>
      </c>
      <c r="G122" s="18" t="s">
        <v>306</v>
      </c>
      <c r="H122" s="18" t="s">
        <v>304</v>
      </c>
      <c r="I122" s="18">
        <v>1</v>
      </c>
      <c r="J122" s="18">
        <v>1</v>
      </c>
      <c r="K122" s="19">
        <v>0</v>
      </c>
      <c r="L122" s="21">
        <v>0</v>
      </c>
      <c r="M122" s="21">
        <f t="shared" si="8"/>
        <v>0</v>
      </c>
      <c r="N122" s="15" t="s">
        <v>22</v>
      </c>
      <c r="O122" s="18">
        <v>1</v>
      </c>
      <c r="P122" s="19">
        <v>0</v>
      </c>
      <c r="Q122" s="21">
        <v>0</v>
      </c>
      <c r="R122" s="21">
        <f t="shared" si="8"/>
        <v>0</v>
      </c>
      <c r="S122" s="15" t="s">
        <v>22</v>
      </c>
      <c r="T122" s="18">
        <v>1</v>
      </c>
      <c r="U122" s="19">
        <v>0</v>
      </c>
      <c r="V122" s="21">
        <v>0</v>
      </c>
      <c r="W122" s="21">
        <f t="shared" si="8"/>
        <v>0</v>
      </c>
      <c r="X122" s="22" t="s">
        <v>22</v>
      </c>
    </row>
    <row r="123" spans="1:24" ht="28.5" customHeight="1" x14ac:dyDescent="0.5">
      <c r="A123" s="18" t="s">
        <v>307</v>
      </c>
      <c r="B123" s="18" t="s">
        <v>159</v>
      </c>
      <c r="C123" s="19">
        <v>0</v>
      </c>
      <c r="D123" s="20" t="s">
        <v>22</v>
      </c>
      <c r="E123" s="21">
        <v>0</v>
      </c>
      <c r="F123" s="21">
        <f t="shared" si="0"/>
        <v>4590</v>
      </c>
      <c r="G123" s="18" t="s">
        <v>308</v>
      </c>
      <c r="H123" s="18" t="s">
        <v>304</v>
      </c>
      <c r="I123" s="18"/>
      <c r="J123" s="18"/>
      <c r="K123" s="19">
        <v>0</v>
      </c>
      <c r="L123" s="21">
        <v>0</v>
      </c>
      <c r="M123" s="21">
        <f t="shared" si="0"/>
        <v>3822</v>
      </c>
      <c r="N123" s="15" t="s">
        <v>22</v>
      </c>
      <c r="O123" s="18"/>
      <c r="P123" s="19">
        <v>0</v>
      </c>
      <c r="Q123" s="21">
        <v>0</v>
      </c>
      <c r="R123" s="21">
        <f t="shared" si="0"/>
        <v>15033.1</v>
      </c>
      <c r="S123" s="15" t="s">
        <v>22</v>
      </c>
      <c r="T123" s="18"/>
      <c r="U123" s="19">
        <v>0</v>
      </c>
      <c r="V123" s="21">
        <v>0</v>
      </c>
      <c r="W123" s="21">
        <f t="shared" si="0"/>
        <v>15550.09</v>
      </c>
      <c r="X123" s="22" t="s">
        <v>22</v>
      </c>
    </row>
    <row r="124" spans="1:24" ht="28.5" customHeight="1" x14ac:dyDescent="0.5">
      <c r="A124" s="27" t="s">
        <v>309</v>
      </c>
      <c r="B124" s="27" t="s">
        <v>225</v>
      </c>
      <c r="C124" s="28">
        <v>47</v>
      </c>
      <c r="D124" s="29" t="s">
        <v>236</v>
      </c>
      <c r="E124" s="30">
        <v>70</v>
      </c>
      <c r="F124" s="30">
        <f t="shared" si="9"/>
        <v>3290</v>
      </c>
      <c r="G124" s="27" t="s">
        <v>310</v>
      </c>
      <c r="H124" s="27" t="s">
        <v>308</v>
      </c>
      <c r="I124" s="27">
        <v>1</v>
      </c>
      <c r="J124" s="27">
        <v>1</v>
      </c>
      <c r="K124" s="28">
        <v>2</v>
      </c>
      <c r="L124" s="30">
        <v>1638</v>
      </c>
      <c r="M124" s="30">
        <f t="shared" si="1"/>
        <v>3276</v>
      </c>
      <c r="N124" s="15" t="s">
        <v>22</v>
      </c>
      <c r="O124" s="27">
        <v>1</v>
      </c>
      <c r="P124" s="28">
        <v>65</v>
      </c>
      <c r="Q124" s="30">
        <v>217</v>
      </c>
      <c r="R124" s="30">
        <f t="shared" si="1"/>
        <v>14105</v>
      </c>
      <c r="S124" s="15" t="s">
        <v>286</v>
      </c>
      <c r="T124" s="27">
        <v>1</v>
      </c>
      <c r="U124" s="28">
        <v>1</v>
      </c>
      <c r="V124" s="30">
        <v>15550.09</v>
      </c>
      <c r="W124" s="30">
        <f t="shared" si="1"/>
        <v>15550.09</v>
      </c>
      <c r="X124" s="22" t="s">
        <v>22</v>
      </c>
    </row>
    <row r="125" spans="1:24" ht="28.5" customHeight="1" x14ac:dyDescent="0.5">
      <c r="A125" s="27" t="s">
        <v>311</v>
      </c>
      <c r="B125" s="27" t="s">
        <v>225</v>
      </c>
      <c r="C125" s="28">
        <v>1</v>
      </c>
      <c r="D125" s="29" t="s">
        <v>35</v>
      </c>
      <c r="E125" s="30">
        <v>500</v>
      </c>
      <c r="F125" s="30">
        <f t="shared" si="9"/>
        <v>500</v>
      </c>
      <c r="G125" s="27" t="s">
        <v>312</v>
      </c>
      <c r="H125" s="27" t="s">
        <v>308</v>
      </c>
      <c r="I125" s="27">
        <v>1</v>
      </c>
      <c r="J125" s="27">
        <v>1</v>
      </c>
      <c r="K125" s="28">
        <v>1</v>
      </c>
      <c r="L125" s="30">
        <v>182</v>
      </c>
      <c r="M125" s="30">
        <f t="shared" si="1"/>
        <v>182</v>
      </c>
      <c r="N125" s="15" t="s">
        <v>22</v>
      </c>
      <c r="O125" s="27">
        <v>1</v>
      </c>
      <c r="P125" s="28">
        <v>1</v>
      </c>
      <c r="Q125" s="30">
        <v>464.04</v>
      </c>
      <c r="R125" s="30">
        <f t="shared" si="1"/>
        <v>464.04</v>
      </c>
      <c r="S125" s="15" t="s">
        <v>22</v>
      </c>
      <c r="T125" s="27">
        <v>1</v>
      </c>
      <c r="U125" s="28">
        <v>0</v>
      </c>
      <c r="V125" s="30">
        <v>0</v>
      </c>
      <c r="W125" s="30">
        <f t="shared" si="1"/>
        <v>0</v>
      </c>
      <c r="X125" s="22" t="s">
        <v>48</v>
      </c>
    </row>
    <row r="126" spans="1:24" ht="28.5" customHeight="1" x14ac:dyDescent="0.5">
      <c r="A126" s="27" t="s">
        <v>313</v>
      </c>
      <c r="B126" s="27" t="s">
        <v>225</v>
      </c>
      <c r="C126" s="28">
        <v>1</v>
      </c>
      <c r="D126" s="29" t="s">
        <v>35</v>
      </c>
      <c r="E126" s="30">
        <v>800</v>
      </c>
      <c r="F126" s="30">
        <f t="shared" si="9"/>
        <v>800</v>
      </c>
      <c r="G126" s="27" t="s">
        <v>314</v>
      </c>
      <c r="H126" s="27" t="s">
        <v>308</v>
      </c>
      <c r="I126" s="27">
        <v>1</v>
      </c>
      <c r="J126" s="27">
        <v>1</v>
      </c>
      <c r="K126" s="28">
        <v>1</v>
      </c>
      <c r="L126" s="30">
        <v>364</v>
      </c>
      <c r="M126" s="30">
        <f t="shared" si="1"/>
        <v>364</v>
      </c>
      <c r="N126" s="15" t="s">
        <v>22</v>
      </c>
      <c r="O126" s="27">
        <v>1</v>
      </c>
      <c r="P126" s="28">
        <v>1</v>
      </c>
      <c r="Q126" s="30">
        <v>464.06</v>
      </c>
      <c r="R126" s="30">
        <f t="shared" si="1"/>
        <v>464.06</v>
      </c>
      <c r="S126" s="15" t="s">
        <v>22</v>
      </c>
      <c r="T126" s="27">
        <v>1</v>
      </c>
      <c r="U126" s="28">
        <v>0</v>
      </c>
      <c r="V126" s="30">
        <v>0</v>
      </c>
      <c r="W126" s="30">
        <f t="shared" si="1"/>
        <v>0</v>
      </c>
      <c r="X126" s="22" t="s">
        <v>48</v>
      </c>
    </row>
    <row r="127" spans="1:24" ht="28.5" customHeight="1" x14ac:dyDescent="0.5">
      <c r="A127" s="18" t="s">
        <v>315</v>
      </c>
      <c r="B127" s="18" t="s">
        <v>316</v>
      </c>
      <c r="C127" s="19">
        <v>0</v>
      </c>
      <c r="D127" s="20" t="s">
        <v>22</v>
      </c>
      <c r="E127" s="21">
        <v>0</v>
      </c>
      <c r="F127" s="21">
        <f t="shared" si="0"/>
        <v>1750</v>
      </c>
      <c r="G127" s="18" t="s">
        <v>317</v>
      </c>
      <c r="H127" s="18" t="s">
        <v>304</v>
      </c>
      <c r="I127" s="18"/>
      <c r="J127" s="18"/>
      <c r="K127" s="19">
        <v>0</v>
      </c>
      <c r="L127" s="21">
        <v>0</v>
      </c>
      <c r="M127" s="21">
        <f t="shared" si="0"/>
        <v>1960</v>
      </c>
      <c r="N127" s="15" t="s">
        <v>22</v>
      </c>
      <c r="O127" s="18"/>
      <c r="P127" s="19">
        <v>0</v>
      </c>
      <c r="Q127" s="21">
        <v>0</v>
      </c>
      <c r="R127" s="21">
        <f t="shared" si="0"/>
        <v>953.82</v>
      </c>
      <c r="S127" s="15" t="s">
        <v>22</v>
      </c>
      <c r="T127" s="18"/>
      <c r="U127" s="19">
        <v>0</v>
      </c>
      <c r="V127" s="21">
        <v>0</v>
      </c>
      <c r="W127" s="21">
        <f t="shared" si="0"/>
        <v>1530.62</v>
      </c>
      <c r="X127" s="22" t="s">
        <v>22</v>
      </c>
    </row>
    <row r="128" spans="1:24" ht="28.5" customHeight="1" x14ac:dyDescent="0.5">
      <c r="A128" s="27" t="s">
        <v>318</v>
      </c>
      <c r="B128" s="27" t="s">
        <v>319</v>
      </c>
      <c r="C128" s="28">
        <v>7</v>
      </c>
      <c r="D128" s="29" t="s">
        <v>8</v>
      </c>
      <c r="E128" s="30">
        <v>250</v>
      </c>
      <c r="F128" s="30">
        <f t="shared" si="9"/>
        <v>1750</v>
      </c>
      <c r="G128" s="27" t="s">
        <v>320</v>
      </c>
      <c r="H128" s="27" t="s">
        <v>317</v>
      </c>
      <c r="I128" s="27">
        <v>1</v>
      </c>
      <c r="J128" s="27">
        <v>1</v>
      </c>
      <c r="K128" s="28">
        <v>7</v>
      </c>
      <c r="L128" s="30">
        <v>280</v>
      </c>
      <c r="M128" s="30">
        <f t="shared" si="1"/>
        <v>1960</v>
      </c>
      <c r="N128" s="15" t="s">
        <v>22</v>
      </c>
      <c r="O128" s="27">
        <v>1</v>
      </c>
      <c r="P128" s="28">
        <v>7</v>
      </c>
      <c r="Q128" s="30">
        <v>136.26</v>
      </c>
      <c r="R128" s="30">
        <f t="shared" si="1"/>
        <v>953.82</v>
      </c>
      <c r="S128" s="15" t="s">
        <v>22</v>
      </c>
      <c r="T128" s="27">
        <v>1</v>
      </c>
      <c r="U128" s="28">
        <v>7</v>
      </c>
      <c r="V128" s="30">
        <v>218.66</v>
      </c>
      <c r="W128" s="30">
        <f t="shared" si="1"/>
        <v>1530.62</v>
      </c>
      <c r="X128" s="22" t="s">
        <v>22</v>
      </c>
    </row>
    <row r="129" spans="1:24" ht="28.5" customHeight="1" x14ac:dyDescent="0.5">
      <c r="A129" s="44" t="s">
        <v>321</v>
      </c>
      <c r="B129" s="45"/>
      <c r="C129" s="16"/>
      <c r="D129" s="16"/>
      <c r="E129" s="16"/>
      <c r="F129" s="17">
        <f t="shared" ref="F129:W129" si="29">SUMIF($G:$G,"B928884E8975774B8B76070FF859A42E",F:F)</f>
        <v>6340</v>
      </c>
      <c r="G129" s="16"/>
      <c r="H129" s="16"/>
      <c r="I129" s="16"/>
      <c r="J129" s="16"/>
      <c r="K129" s="16"/>
      <c r="L129" s="16"/>
      <c r="M129" s="17">
        <f t="shared" si="29"/>
        <v>5782</v>
      </c>
      <c r="N129" s="16"/>
      <c r="O129" s="16"/>
      <c r="P129" s="16"/>
      <c r="Q129" s="16"/>
      <c r="R129" s="17">
        <f t="shared" si="29"/>
        <v>15986.92</v>
      </c>
      <c r="S129" s="16"/>
      <c r="T129" s="16"/>
      <c r="U129" s="16"/>
      <c r="V129" s="16"/>
      <c r="W129" s="17">
        <f t="shared" si="29"/>
        <v>17080.71</v>
      </c>
      <c r="X129" s="16"/>
    </row>
    <row r="130" spans="1:24" ht="14.25" customHeight="1" x14ac:dyDescent="0.5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</row>
    <row r="131" spans="1:24" ht="14.25" customHeight="1" x14ac:dyDescent="0.5">
      <c r="A131" s="48" t="s">
        <v>322</v>
      </c>
      <c r="B131" s="49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</row>
    <row r="132" spans="1:24" ht="15" customHeight="1" x14ac:dyDescent="0.5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</row>
    <row r="133" spans="1:24" ht="15" customHeight="1" x14ac:dyDescent="0.5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</row>
    <row r="134" spans="1:24" ht="56.25" customHeight="1" x14ac:dyDescent="0.5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52" t="s">
        <v>323</v>
      </c>
      <c r="L134" s="53"/>
      <c r="M134" s="53"/>
      <c r="N134" s="53"/>
      <c r="O134" s="33"/>
      <c r="P134" s="54" t="s">
        <v>324</v>
      </c>
      <c r="Q134" s="53"/>
      <c r="R134" s="53"/>
      <c r="S134" s="53"/>
      <c r="T134" s="33"/>
      <c r="U134" s="52" t="s">
        <v>325</v>
      </c>
      <c r="V134" s="53"/>
      <c r="W134" s="53"/>
      <c r="X134" s="53"/>
    </row>
    <row r="135" spans="1:24" ht="15" customHeight="1" x14ac:dyDescent="0.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</row>
    <row r="136" spans="1:24" ht="15" customHeight="1" x14ac:dyDescent="0.5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</row>
    <row r="137" spans="1:24" ht="28.5" customHeight="1" x14ac:dyDescent="0.5">
      <c r="A137" s="50" t="s">
        <v>326</v>
      </c>
      <c r="B137" s="51"/>
      <c r="C137" s="35"/>
      <c r="D137" s="35"/>
      <c r="E137" s="35"/>
      <c r="F137" s="36">
        <f>SUMIF($I:$I,1,F:F)</f>
        <v>94070</v>
      </c>
      <c r="G137" s="35"/>
      <c r="H137" s="35"/>
      <c r="I137" s="35"/>
      <c r="J137" s="35"/>
      <c r="K137" s="35"/>
      <c r="L137" s="35"/>
      <c r="M137" s="36">
        <f>SUMIF($J:$J,1,M:M)</f>
        <v>99499.999999999985</v>
      </c>
      <c r="N137" s="35"/>
      <c r="O137" s="35"/>
      <c r="P137" s="35"/>
      <c r="Q137" s="35"/>
      <c r="R137" s="36">
        <f>SUMIF($O:$O,1,R:R)</f>
        <v>226109.86000000004</v>
      </c>
      <c r="S137" s="35"/>
      <c r="T137" s="35"/>
      <c r="U137" s="35"/>
      <c r="V137" s="35"/>
      <c r="W137" s="36">
        <f>SUMIF($T:$T,1,W:W)</f>
        <v>200521.69999999998</v>
      </c>
      <c r="X137" s="37"/>
    </row>
    <row r="138" spans="1:24" ht="15" customHeight="1" x14ac:dyDescent="0.5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</row>
  </sheetData>
  <mergeCells count="34">
    <mergeCell ref="A137:B137"/>
    <mergeCell ref="K134:N134"/>
    <mergeCell ref="P134:S134"/>
    <mergeCell ref="U134:X134"/>
    <mergeCell ref="A111:B111"/>
    <mergeCell ref="A115:B115"/>
    <mergeCell ref="A120:B120"/>
    <mergeCell ref="A129:B129"/>
    <mergeCell ref="A131:B131"/>
    <mergeCell ref="A83:B83"/>
    <mergeCell ref="A89:B89"/>
    <mergeCell ref="A98:B98"/>
    <mergeCell ref="A102:B102"/>
    <mergeCell ref="A106:B106"/>
    <mergeCell ref="A64:B64"/>
    <mergeCell ref="A70:B70"/>
    <mergeCell ref="A74:B74"/>
    <mergeCell ref="A77:B77"/>
    <mergeCell ref="A78:B78"/>
    <mergeCell ref="A43:B43"/>
    <mergeCell ref="A47:B47"/>
    <mergeCell ref="A51:B51"/>
    <mergeCell ref="A55:B55"/>
    <mergeCell ref="A58:B58"/>
    <mergeCell ref="A15:B15"/>
    <mergeCell ref="A19:B19"/>
    <mergeCell ref="A25:B25"/>
    <mergeCell ref="A26:B26"/>
    <mergeCell ref="A34:B34"/>
    <mergeCell ref="C1:F1"/>
    <mergeCell ref="K1:N1"/>
    <mergeCell ref="P1:S1"/>
    <mergeCell ref="U1:X1"/>
    <mergeCell ref="A5:B5"/>
  </mergeCells>
  <pageMargins left="0" right="0" top="0" bottom="0" header="0" footer="0"/>
  <pageSetup pageOrder="overThenDown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Romain DEJEAN</cp:lastModifiedBy>
  <dcterms:modified xsi:type="dcterms:W3CDTF">2025-12-16T15:53:31Z</dcterms:modified>
</cp:coreProperties>
</file>