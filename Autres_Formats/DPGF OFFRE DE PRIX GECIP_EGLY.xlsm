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roupe-emca.netexplorer.pro/dav/4 - ETUDES &amp; METHODES/1 - OFFRE DE PRIX/2025/EGLY/DOSSIER REPONSE/"/>
    </mc:Choice>
  </mc:AlternateContent>
  <xr:revisionPtr revIDLastSave="0" documentId="13_ncr:40000001_{1E117A7D-C8FA-46CF-BEED-5E10404E33AB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DPGF" sheetId="42" r:id="rId1"/>
  </sheets>
  <externalReferences>
    <externalReference r:id="rId2"/>
    <externalReference r:id="rId3"/>
    <externalReference r:id="rId4"/>
  </externalReferences>
  <definedNames>
    <definedName name="\C">#REF!</definedName>
    <definedName name="\D">#REF!</definedName>
    <definedName name="\I">#REF!</definedName>
    <definedName name="\S">#REF!</definedName>
    <definedName name="\V">#REF!</definedName>
    <definedName name="_Order1" hidden="1">255</definedName>
    <definedName name="_R">#REF!</definedName>
    <definedName name="_ST02">'[1]LOT 2- Etanchéité'!#REF!</definedName>
    <definedName name="_st03">#REF!</definedName>
    <definedName name="_ST04">#REF!</definedName>
    <definedName name="_ST05">#REF!</definedName>
    <definedName name="_ST06">#REF!</definedName>
    <definedName name="_ST07">#REF!</definedName>
    <definedName name="_ST08">#REF!</definedName>
    <definedName name="_ST09">#REF!</definedName>
    <definedName name="_ST10">#REF!</definedName>
    <definedName name="_ST11">#REF!</definedName>
    <definedName name="_ST12">#REF!</definedName>
    <definedName name="_ST13">#REF!</definedName>
    <definedName name="_ST14">#REF!</definedName>
    <definedName name="_ST15">#REF!</definedName>
    <definedName name="_TFO1">SUM([2]PLOM!$H$13:$H$160)</definedName>
    <definedName name="_TFO10">SUM([2]PLOM!$H$436:$H$443)</definedName>
    <definedName name="_TFO11">SUM([2]PLOM!$H$445:$H$449)</definedName>
    <definedName name="_TFO12">SUM([2]PLOM!$H$451:$H$458)</definedName>
    <definedName name="_TFO13">SUM([2]PLOM!$H$460:$H$464)</definedName>
    <definedName name="_TFO14">SUM([2]PLOM!$H$466:$H$474)</definedName>
    <definedName name="_TFO15">SUM([2]PLOM!#REF!)</definedName>
    <definedName name="_TFO16">SUM([2]PLOM!#REF!)</definedName>
    <definedName name="_TFO17">SUM([2]PLOM!#REF!)</definedName>
    <definedName name="_TFO18">SUM([2]PLOM!#REF!)</definedName>
    <definedName name="_TFO19">SUM([2]PLOM!#REF!)</definedName>
    <definedName name="_TFO2">SUM([2]PLOM!$H$162:$H$232)</definedName>
    <definedName name="_TFO20">SUM([2]PLOM!#REF!)</definedName>
    <definedName name="_TFO3">SUM([2]PLOM!$H$234:$H$299)</definedName>
    <definedName name="_TFO4">SUM([2]PLOM!$H$301:$H$328)</definedName>
    <definedName name="_TFO5">SUM([2]PLOM!$H$330:$H$338)</definedName>
    <definedName name="_TFO6">SUM([2]PLOM!$H$340:$H$347)</definedName>
    <definedName name="_TFO7">SUM([2]PLOM!$H$349:$H$354)</definedName>
    <definedName name="_TFO8">SUM([2]PLOM!$H$356:$H$421)</definedName>
    <definedName name="_TFO9">SUM([2]PLOM!$H$423:$H$434)</definedName>
    <definedName name="_TMO1">SUM([2]PLOM!$G$13:$G$160)</definedName>
    <definedName name="_TMO10">SUM([2]PLOM!$G$436:$G$443)</definedName>
    <definedName name="_TMO11">SUM([2]PLOM!$G$445:$G$449)</definedName>
    <definedName name="_TMO12">SUM([2]PLOM!$G$451:$G$458)</definedName>
    <definedName name="_TMO13">SUM([2]PLOM!$G$460:$G$464)</definedName>
    <definedName name="_TMO14">SUM([2]PLOM!$G$466:$G$474)</definedName>
    <definedName name="_TMO15">SUM([2]PLOM!#REF!)</definedName>
    <definedName name="_TMO16">SUM([2]PLOM!#REF!)</definedName>
    <definedName name="_TMO17">SUM([2]PLOM!#REF!)</definedName>
    <definedName name="_TMO18">SUM([2]PLOM!#REF!)</definedName>
    <definedName name="_TMO19">SUM([2]PLOM!#REF!)</definedName>
    <definedName name="_TMO2">SUM([2]PLOM!$G$162:$G$232)</definedName>
    <definedName name="_TMO20">SUM([2]PLOM!#REF!)</definedName>
    <definedName name="_TMO3">SUM([2]PLOM!$G$234:$G$299)</definedName>
    <definedName name="_TMO4">SUM([2]PLOM!$G$301:$G$328)</definedName>
    <definedName name="_TMO5">SUM([2]PLOM!$G$330:$G$338)</definedName>
    <definedName name="_TMO6">SUM([2]PLOM!$G$340:$G$347)</definedName>
    <definedName name="_TMO7">SUM([2]PLOM!$G$349:$G$354)</definedName>
    <definedName name="_TMO8">SUM([2]PLOM!$G$356:$G$421)</definedName>
    <definedName name="_TMO9">SUM([2]PLOM!$G$423:$G$434)</definedName>
    <definedName name="_TV1">SUM([2]PLOM!$J$13:$J$160)</definedName>
    <definedName name="_TV10">SUM([2]PLOM!$J$436:$J$443)</definedName>
    <definedName name="_TV11">SUM([2]PLOM!$J$445:$J$449)</definedName>
    <definedName name="_TV12">SUM([2]PLOM!$J$451:$J$458)</definedName>
    <definedName name="_TV13">SUM([2]PLOM!$J$460:$J$464)</definedName>
    <definedName name="_TV14">SUM([2]PLOM!$J$466:$J$474)</definedName>
    <definedName name="_TV15">SUM([2]PLOM!#REF!)</definedName>
    <definedName name="_TV16">SUM([2]PLOM!#REF!)</definedName>
    <definedName name="_TV17">SUM([2]PLOM!#REF!)</definedName>
    <definedName name="_TV18">SUM([2]PLOM!#REF!)</definedName>
    <definedName name="_TV19">SUM([2]PLOM!#REF!)</definedName>
    <definedName name="_TV2">SUM([2]PLOM!$J$162:$J$232)</definedName>
    <definedName name="_TV20">SUM([2]PLOM!#REF!)</definedName>
    <definedName name="_TV3">SUM([2]PLOM!$J$234:$J$299)</definedName>
    <definedName name="_TV4">SUM([2]PLOM!$J$301:$J$328)</definedName>
    <definedName name="_TV5">SUM([2]PLOM!$J$330:$J$338)</definedName>
    <definedName name="_TV6">SUM([2]PLOM!$J$340:$J$347)</definedName>
    <definedName name="_TV7">SUM([2]PLOM!$J$349:$J$354)</definedName>
    <definedName name="_TV8">SUM([2]PLOM!$J$356:$J$421)</definedName>
    <definedName name="_TV9">SUM([2]PLOM!$J$423:$J$434)</definedName>
    <definedName name="a">#REF!</definedName>
    <definedName name="AA">#REF!</definedName>
    <definedName name="AB">#REF!</definedName>
    <definedName name="ABA">#REF!</definedName>
    <definedName name="AC">#REF!</definedName>
    <definedName name="AccessDatabase" hidden="1">"D:\#COGEEF\DEVIS\# sous-détails\bible 01.mdb"</definedName>
    <definedName name="AD">#REF!</definedName>
    <definedName name="AE">#REF!</definedName>
    <definedName name="AF">#REF!</definedName>
    <definedName name="AG">#REF!</definedName>
    <definedName name="AGG">#REF!</definedName>
    <definedName name="AH">#REF!</definedName>
    <definedName name="B">#REF!</definedName>
    <definedName name="BA">#REF!</definedName>
    <definedName name="bb">#REF!</definedName>
    <definedName name="BETON">#REF!</definedName>
    <definedName name="bl">#REF!</definedName>
    <definedName name="bm">#REF!</definedName>
    <definedName name="C_">#REF!</definedName>
    <definedName name="cces">#REF!</definedName>
    <definedName name="cgo">#REF!</definedName>
    <definedName name="CODE_002C3F5FF7C3E240B1C1208270C61B9D">DPGF!$A$12</definedName>
    <definedName name="CODE_0042D5ABF2FD704CA018F7F2E851E7A5">DPGF!$A$92</definedName>
    <definedName name="CODE_004F9DC109DBD6408D975C6C0EC4FD0C">DPGF!$A$91</definedName>
    <definedName name="CODE_087C7EE507252E4F8BD45A8806FDED9A">DPGF!$A$27</definedName>
    <definedName name="CODE_0881825AEDD5DD47864E6C799648FF37">DPGF!$A$34</definedName>
    <definedName name="CODE_0B16F0AB18DA4E4E9990DDF956444384">DPGF!$A$94</definedName>
    <definedName name="CODE_0CC4199427A2E2469152257A82CC2DAC">DPGF!$A$20</definedName>
    <definedName name="CODE_124472292ABC0E4FA14BE8C43AF1A6E1">DPGF!$A$88</definedName>
    <definedName name="CODE_124F9B3DB0E8584389CE99067F584836">DPGF!$A$15</definedName>
    <definedName name="CODE_1852A9D179075F4989A7EC907612824D">DPGF!$A$97</definedName>
    <definedName name="CODE_1A753459AEA5BA438F656D9CBE9BC3D1">DPGF!$A$80</definedName>
    <definedName name="CODE_1C43AB326C8E8548BCDCCB5C36A3D726">DPGF!$A$60</definedName>
    <definedName name="CODE_200CB7CB860ADC4E8BD4C74E78E0E9B5">DPGF!$A$44</definedName>
    <definedName name="CODE_23E5DC04DA5E8545A0C140F3446B53D7">DPGF!$A$67</definedName>
    <definedName name="CODE_248E33850274454BB5987D07C901C088">DPGF!$A$40</definedName>
    <definedName name="CODE_24DFC4DB4EBEE041B7B9FFB4773748C6">DPGF!#REF!</definedName>
    <definedName name="CODE_29466FD90C9918439FCE9574D2F07872">DPGF!$A$96</definedName>
    <definedName name="CODE_2A2AC132464ABF41BAED11951A86E23C">DPGF!$A$43</definedName>
    <definedName name="CODE_2CA4867206C9074A980DB5CC1B68E096">DPGF!$A$104</definedName>
    <definedName name="CODE_2E1C084FFABB8C41BD373B70019C076E">DPGF!$A$90</definedName>
    <definedName name="CODE_2FB78EC8FD38464A801032590A64E7EB">DPGF!$A$81</definedName>
    <definedName name="CODE_322535B1B13A8347AF6193E656A4D41A">DPGF!$A$76</definedName>
    <definedName name="CODE_3673F106327FF1488243E6A7EE2CF665">DPGF!$A$103</definedName>
    <definedName name="CODE_36748D7FA4E82C47AB34DAA2AE47B567">DPGF!$A$28</definedName>
    <definedName name="CODE_3B864E1442380140BAFBBC2682C26468">DPGF!$A$68</definedName>
    <definedName name="CODE_42B7833FF03A5841AEC778CF2677A481">DPGF!$A$18</definedName>
    <definedName name="CODE_434153E06F4CE346A339B7D70E1BCD36">DPGF!$A$85</definedName>
    <definedName name="CODE_4486F64D97665948ABC256303FD5BC72">DPGF!$A$30</definedName>
    <definedName name="CODE_4565B0D237DA2F489A23C92D6ABD9137">DPGF!$A$55</definedName>
    <definedName name="CODE_46E6A676ED2D6344B20356E0D87A14B1">DPGF!$A$65</definedName>
    <definedName name="CODE_482BD897C9E1214ABAC390FD587DE4FF">DPGF!$A$61</definedName>
    <definedName name="CODE_49C7A8D3A1A54740A2D6065EAC023169">DPGF!$A$39</definedName>
    <definedName name="CODE_4B283B0939D7094A82FD203080325F47">DPGF!$A$78</definedName>
    <definedName name="CODE_4EFA71F5CF773E4F9634CB2CDD38ED32">DPGF!$A$25</definedName>
    <definedName name="CODE_5169D268BEBF504B95890BA1AE707FBB">DPGF!$A$93</definedName>
    <definedName name="CODE_56E60BC1A721A441AE6A389E380010C9">DPGF!$A$26</definedName>
    <definedName name="CODE_5703458808556F4296B8657815E04060">DPGF!$A$69</definedName>
    <definedName name="CODE_576FFE175D828342ACEB91F792CC5551">DPGF!$A$22</definedName>
    <definedName name="CODE_6018F86580FB2042A3EB0947D2965877">DPGF!#REF!</definedName>
    <definedName name="CODE_60B5CA90A9FC894EA470492890C9B48D">DPGF!$A$49</definedName>
    <definedName name="CODE_6243A67A163FD644B51392D24CFC5801">DPGF!$A$87</definedName>
    <definedName name="CODE_62EFAEB8660F1E4DA4FC9AC114B1A39A">DPGF!$A$41</definedName>
    <definedName name="CODE_650F5C1F3391F9489B23F2154D4E9DD2">DPGF!$A$42</definedName>
    <definedName name="CODE_65A2DE22CD8AC54D938D84CC0DD45F08">DPGF!$A$37</definedName>
    <definedName name="CODE_666563DC79E4C64AAA0C043620D3D7E1">DPGF!$A$102</definedName>
    <definedName name="CODE_695FFA905C9376408A1D1282EE1A5781">DPGF!$A$75</definedName>
    <definedName name="CODE_707372DD85BC944EB18C8A179463C4C5">DPGF!$A$19</definedName>
    <definedName name="CODE_758BC7E7DDD6D8408D282DE7AA0D6292">DPGF!$A$13</definedName>
    <definedName name="CODE_7657335925D3DB47846FF3FEA6A27CB1">DPGF!$A$53</definedName>
    <definedName name="CODE_789894BB61BA8D49A080301B1CDA601E">DPGF!$A$48</definedName>
    <definedName name="CODE_79441771764B8D478EF2A9D32F7B917A">DPGF!$A$86</definedName>
    <definedName name="CODE_7DC06580A1D0184E9F385C3C5CD7404E">DPGF!$A$54</definedName>
    <definedName name="CODE_7F3AF47719EDFF4A815413B23377E394">DPGF!$A$32</definedName>
    <definedName name="CODE_7F8D18958455BE498257112751BD136E">DPGF!$A$47</definedName>
    <definedName name="CODE_8164CDBB8883CA428BB6CEDC47ED92C1">DPGF!$A$33</definedName>
    <definedName name="CODE_81EF6DE6239F3148947BEF1D516AA7A6">DPGF!$A$14</definedName>
    <definedName name="CODE_82BA7F2F2BF2E5488A076FC25027E765">DPGF!$A$16</definedName>
    <definedName name="CODE_83E00C98B46C5840960D39BE0B93CA5F">DPGF!$A$21</definedName>
    <definedName name="CODE_8595969957196443B1464934A16A1A57">DPGF!$A$84</definedName>
    <definedName name="CODE_862B77479B25384F9F77E5B46B39EF89">DPGF!$A$70</definedName>
    <definedName name="CODE_89FB1987A84EF948A1803FAB2370102A">DPGF!$A$72</definedName>
    <definedName name="CODE_8A77B69BADFF41488631F5DB1BA13B54">DPGF!$A$71</definedName>
    <definedName name="CODE_8CC372887E837F49A827FD1131437708">DPGF!$A$50</definedName>
    <definedName name="CODE_937AA782D759B6498A1F8E8041956E9C">DPGF!$A$23</definedName>
    <definedName name="CODE_948645338E73E64EB3C90C8F090FE63E">DPGF!$A$46</definedName>
    <definedName name="CODE_94990FEDF2AD6A429B1DA6A29DA70FFA">DPGF!$A$82</definedName>
    <definedName name="CODE_971ED7F55BCBAE4CBC4935820474DD68">DPGF!$A$64</definedName>
    <definedName name="CODE_9B7A640DF8D4DB4C8E18E0635243A9D7">DPGF!$A$29</definedName>
    <definedName name="CODE_A8C6B9AEB5C93247AFD3A8AE0BBDB36C">DPGF!$A$79</definedName>
    <definedName name="CODE_A8FCDBD5CFEAFA4F9734154E37FB6391">DPGF!$A$73</definedName>
    <definedName name="CODE_ADF2995D0A121F4FA9964E4F19E4E4B5">DPGF!$A$95</definedName>
    <definedName name="CODE_AFF1C8B8B19A1448A9E967C3EAFE0253">DPGF!$A$74</definedName>
    <definedName name="CODE_B3695545C320F84A8BB1A8E102D8BCD1">DPGF!$A$17</definedName>
    <definedName name="CODE_B5391CA31166ED448AF321F55A8E13ED">DPGF!$A$83</definedName>
    <definedName name="CODE_B88B5034B2C5EE4591380B6DD20CB1DF">DPGF!$A$62</definedName>
    <definedName name="CODE_BCD62E7B50914D4D8B2A3CAF3BD0D866">DPGF!$A$52</definedName>
    <definedName name="CODE_BF10F927125E17418C6A8BD0BEF12E30">DPGF!$A$58</definedName>
    <definedName name="CODE_C1C97AB1BE4F4C4092696F3E3B87C07C">DPGF!$A$57</definedName>
    <definedName name="CODE_C29C14647EA7F24099D3D08CD03AD193">DPGF!$A$77</definedName>
    <definedName name="CODE_C6A293681DB4A143B216C150BBE73A24">DPGF!$A$98</definedName>
    <definedName name="CODE_CA96FCA66BAE9248B17892AE63EB9DEF">DPGF!$A$101</definedName>
    <definedName name="CODE_CC8A04E50A2DC640961B82D224700CE5">DPGF!$A$59</definedName>
    <definedName name="CODE_D4968B6089541F44BF61681BF12EB86E">DPGF!$A$24</definedName>
    <definedName name="CODE_DBF36E3C3AA4AD49B7185C16CFE850C2">DPGF!$A$51</definedName>
    <definedName name="CODE_E4BC96CDFF07084D818E996D9BC528E4">DPGF!$A$38</definedName>
    <definedName name="CODE_E4DE771186151E4BBB68DB4BB36BB53F">DPGF!$A$66</definedName>
    <definedName name="CODE_E7F41FE139056D49A1AB3B8BD5870994">DPGF!$A$63</definedName>
    <definedName name="CODE_E84FB55985F080499E020DCD8A1EA693">DPGF!$A$99</definedName>
    <definedName name="CODE_EC7EB30037C8FA439A28D58D1399C970">DPGF!$A$11</definedName>
    <definedName name="CODE_EC9A749DBCA44544834F0ADA608BC96A">DPGF!$A$31</definedName>
    <definedName name="CODE_EF128B28B17DA149B3DD8E45C676C081">DPGF!$A$89</definedName>
    <definedName name="CODE_F29C705FF768834983086FDCF6A6AA53">DPGF!$A$100</definedName>
    <definedName name="CODE_F74ED06EB9C57A48B7E883A3BD524B62">DPGF!$A$36</definedName>
    <definedName name="CODE_F9E72DB6DE14244CB1731CA06B3E44E5">DPGF!$A$35</definedName>
    <definedName name="CODE_FFF842A5D476E147A46759B985A7D837">DPGF!$A$56</definedName>
    <definedName name="coef1">#REF!</definedName>
    <definedName name="COEFMA">#REF!</definedName>
    <definedName name="COEFMO">#REF!</definedName>
    <definedName name="D">#REF!</definedName>
    <definedName name="dem">#REF!</definedName>
    <definedName name="demol">#REF!</definedName>
    <definedName name="DESI_002C3F5FF7C3E240B1C1208270C61B9D_\AR">DPGF!$B$12</definedName>
    <definedName name="DESI_0042D5ABF2FD704CA018F7F2E851E7A5_\AR">DPGF!$B$92</definedName>
    <definedName name="DESI_004F9DC109DBD6408D975C6C0EC4FD0C_\AR">DPGF!$B$91</definedName>
    <definedName name="DESI_087C7EE507252E4F8BD45A8806FDED9A_\AR">DPGF!$B$27</definedName>
    <definedName name="DESI_0881825AEDD5DD47864E6C799648FF37_\AR">DPGF!$B$34</definedName>
    <definedName name="DESI_0B16F0AB18DA4E4E9990DDF956444384_\AR">DPGF!$B$94</definedName>
    <definedName name="DESI_0CC4199427A2E2469152257A82CC2DAC_\AR">DPGF!$B$20</definedName>
    <definedName name="DESI_124472292ABC0E4FA14BE8C43AF1A6E1_\AR">DPGF!$B$88</definedName>
    <definedName name="DESI_124F9B3DB0E8584389CE99067F584836_\AR">DPGF!$B$15</definedName>
    <definedName name="DESI_1852A9D179075F4989A7EC907612824D_\AR">DPGF!$B$97</definedName>
    <definedName name="DESI_1A753459AEA5BA438F656D9CBE9BC3D1_\AR">DPGF!$B$80</definedName>
    <definedName name="DESI_1C43AB326C8E8548BCDCCB5C36A3D726_\AR">DPGF!$B$60</definedName>
    <definedName name="DESI_200CB7CB860ADC4E8BD4C74E78E0E9B5_\AR">DPGF!$B$44</definedName>
    <definedName name="DESI_23E5DC04DA5E8545A0C140F3446B53D7_\AR">DPGF!$B$67</definedName>
    <definedName name="DESI_248E33850274454BB5987D07C901C088_\AR">DPGF!$B$40</definedName>
    <definedName name="DESI_24DFC4DB4EBEE041B7B9FFB4773748C6_\BO">DPGF!#REF!</definedName>
    <definedName name="DESI_29466FD90C9918439FCE9574D2F07872_\AR">DPGF!$B$96</definedName>
    <definedName name="DESI_2A2AC132464ABF41BAED11951A86E23C_\AR">DPGF!$B$43</definedName>
    <definedName name="DESI_2CA4867206C9074A980DB5CC1B68E096_\AR">DPGF!$B$104</definedName>
    <definedName name="DESI_2E1C084FFABB8C41BD373B70019C076E_\AR">DPGF!$B$90</definedName>
    <definedName name="DESI_2FB78EC8FD38464A801032590A64E7EB_\AR">DPGF!$B$81</definedName>
    <definedName name="DESI_322535B1B13A8347AF6193E656A4D41A_\AR">DPGF!$B$76</definedName>
    <definedName name="DESI_3673F106327FF1488243E6A7EE2CF665_\AR">DPGF!$B$103</definedName>
    <definedName name="DESI_36748D7FA4E82C47AB34DAA2AE47B567_\AR">DPGF!$B$28</definedName>
    <definedName name="DESI_3B864E1442380140BAFBBC2682C26468_\AR">DPGF!$B$68</definedName>
    <definedName name="DESI_42B7833FF03A5841AEC778CF2677A481_\AR">DPGF!$B$18</definedName>
    <definedName name="DESI_434153E06F4CE346A339B7D70E1BCD36_\AR">DPGF!$B$85</definedName>
    <definedName name="DESI_4486F64D97665948ABC256303FD5BC72_\AR">DPGF!$B$30</definedName>
    <definedName name="DESI_4565B0D237DA2F489A23C92D6ABD9137_\AR">DPGF!$B$55</definedName>
    <definedName name="DESI_46E6A676ED2D6344B20356E0D87A14B1_\AR">DPGF!$B$65</definedName>
    <definedName name="DESI_482BD897C9E1214ABAC390FD587DE4FF_\AR">DPGF!$B$61</definedName>
    <definedName name="DESI_49C7A8D3A1A54740A2D6065EAC023169_\AR">DPGF!$B$39</definedName>
    <definedName name="DESI_4B283B0939D7094A82FD203080325F47_\AR">DPGF!$B$78</definedName>
    <definedName name="DESI_4EFA71F5CF773E4F9634CB2CDD38ED32_\AR">DPGF!$B$25</definedName>
    <definedName name="DESI_5169D268BEBF504B95890BA1AE707FBB_\AR">DPGF!$B$93</definedName>
    <definedName name="DESI_56E60BC1A721A441AE6A389E380010C9_\AR">DPGF!$B$26</definedName>
    <definedName name="DESI_5703458808556F4296B8657815E04060_\AR">DPGF!$B$69</definedName>
    <definedName name="DESI_576FFE175D828342ACEB91F792CC5551_\AR">DPGF!$B$22</definedName>
    <definedName name="DESI_6018F86580FB2042A3EB0947D2965877_\BO">DPGF!#REF!</definedName>
    <definedName name="DESI_60B5CA90A9FC894EA470492890C9B48D_\AR">DPGF!$B$49</definedName>
    <definedName name="DESI_6243A67A163FD644B51392D24CFC5801_\AR">DPGF!$B$87</definedName>
    <definedName name="DESI_62EFAEB8660F1E4DA4FC9AC114B1A39A_\AR">DPGF!$B$41</definedName>
    <definedName name="DESI_650F5C1F3391F9489B23F2154D4E9DD2_\AR">DPGF!$B$42</definedName>
    <definedName name="DESI_65A2DE22CD8AC54D938D84CC0DD45F08_\AR">DPGF!$B$37</definedName>
    <definedName name="DESI_666563DC79E4C64AAA0C043620D3D7E1_\AR">DPGF!$B$102</definedName>
    <definedName name="DESI_695FFA905C9376408A1D1282EE1A5781_\AR">DPGF!$B$75</definedName>
    <definedName name="DESI_707372DD85BC944EB18C8A179463C4C5_\AR">DPGF!$B$19</definedName>
    <definedName name="DESI_758BC7E7DDD6D8408D282DE7AA0D6292_\AR">DPGF!$B$13</definedName>
    <definedName name="DESI_7657335925D3DB47846FF3FEA6A27CB1_\AR">DPGF!$B$53</definedName>
    <definedName name="DESI_789894BB61BA8D49A080301B1CDA601E_\AR">DPGF!$B$48</definedName>
    <definedName name="DESI_79441771764B8D478EF2A9D32F7B917A_\AR">DPGF!$B$86</definedName>
    <definedName name="DESI_7DC06580A1D0184E9F385C3C5CD7404E_\AR">DPGF!$B$54</definedName>
    <definedName name="DESI_7F3AF47719EDFF4A815413B23377E394_\AR">DPGF!$B$32</definedName>
    <definedName name="DESI_7F8D18958455BE498257112751BD136E_\AR">DPGF!$B$47</definedName>
    <definedName name="DESI_8164CDBB8883CA428BB6CEDC47ED92C1_\AR">DPGF!$B$33</definedName>
    <definedName name="DESI_81EF6DE6239F3148947BEF1D516AA7A6_\AR">DPGF!$B$14</definedName>
    <definedName name="DESI_82BA7F2F2BF2E5488A076FC25027E765_\AR">DPGF!$B$16</definedName>
    <definedName name="DESI_83E00C98B46C5840960D39BE0B93CA5F_\AR">DPGF!$B$21</definedName>
    <definedName name="DESI_8595969957196443B1464934A16A1A57_\AR">DPGF!$B$84</definedName>
    <definedName name="DESI_862B77479B25384F9F77E5B46B39EF89_\AR">DPGF!$B$70</definedName>
    <definedName name="DESI_89FB1987A84EF948A1803FAB2370102A_\AR">DPGF!$B$72</definedName>
    <definedName name="DESI_8A77B69BADFF41488631F5DB1BA13B54_\AR">DPGF!$B$71</definedName>
    <definedName name="DESI_8CC372887E837F49A827FD1131437708_\AR">DPGF!$B$50</definedName>
    <definedName name="DESI_937AA782D759B6498A1F8E8041956E9C_\AR">DPGF!$B$23</definedName>
    <definedName name="DESI_948645338E73E64EB3C90C8F090FE63E_\AR">DPGF!$B$46</definedName>
    <definedName name="DESI_94990FEDF2AD6A429B1DA6A29DA70FFA_\AR">DPGF!$B$82</definedName>
    <definedName name="DESI_971ED7F55BCBAE4CBC4935820474DD68_\AR">DPGF!$B$64</definedName>
    <definedName name="DESI_9B7A640DF8D4DB4C8E18E0635243A9D7_\AR">DPGF!$B$29</definedName>
    <definedName name="DESI_A8C6B9AEB5C93247AFD3A8AE0BBDB36C_\AR">DPGF!$B$79</definedName>
    <definedName name="DESI_A8FCDBD5CFEAFA4F9734154E37FB6391_\AR">DPGF!$B$73</definedName>
    <definedName name="DESI_ADF2995D0A121F4FA9964E4F19E4E4B5_\AR">DPGF!$B$95</definedName>
    <definedName name="DESI_AFF1C8B8B19A1448A9E967C3EAFE0253_\AR">DPGF!$B$74</definedName>
    <definedName name="DESI_B3695545C320F84A8BB1A8E102D8BCD1_\AR">DPGF!$B$17</definedName>
    <definedName name="DESI_B5391CA31166ED448AF321F55A8E13ED_\AR">DPGF!$B$83</definedName>
    <definedName name="DESI_B88B5034B2C5EE4591380B6DD20CB1DF_\AR">DPGF!$B$62</definedName>
    <definedName name="DESI_BCD62E7B50914D4D8B2A3CAF3BD0D866_\AR">DPGF!$B$52</definedName>
    <definedName name="DESI_BF10F927125E17418C6A8BD0BEF12E30_\AR">DPGF!$B$58</definedName>
    <definedName name="DESI_C1C97AB1BE4F4C4092696F3E3B87C07C_\AR">DPGF!$B$57</definedName>
    <definedName name="DESI_C29C14647EA7F24099D3D08CD03AD193_\AR">DPGF!$B$77</definedName>
    <definedName name="DESI_C6A293681DB4A143B216C150BBE73A24_\AR">DPGF!$B$98</definedName>
    <definedName name="DESI_CA96FCA66BAE9248B17892AE63EB9DEF_\AR">DPGF!$B$101</definedName>
    <definedName name="DESI_CC8A04E50A2DC640961B82D224700CE5_\AR">DPGF!$B$59</definedName>
    <definedName name="DESI_D4968B6089541F44BF61681BF12EB86E_\AR">DPGF!$B$24</definedName>
    <definedName name="DESI_DBF36E3C3AA4AD49B7185C16CFE850C2_\AR">DPGF!$B$51</definedName>
    <definedName name="DESI_E4BC96CDFF07084D818E996D9BC528E4_\AR">DPGF!$B$38</definedName>
    <definedName name="DESI_E4DE771186151E4BBB68DB4BB36BB53F_\AR">DPGF!$B$66</definedName>
    <definedName name="DESI_E7F41FE139056D49A1AB3B8BD5870994_\AR">DPGF!$B$63</definedName>
    <definedName name="DESI_E84FB55985F080499E020DCD8A1EA693_\AR">DPGF!$B$99</definedName>
    <definedName name="DESI_EC7EB30037C8FA439A28D58D1399C970_\AR">DPGF!$B$11</definedName>
    <definedName name="DESI_EC9A749DBCA44544834F0ADA608BC96A_\AR">DPGF!$B$31</definedName>
    <definedName name="DESI_EF128B28B17DA149B3DD8E45C676C081_\AR">DPGF!$B$89</definedName>
    <definedName name="DESI_F29C705FF768834983086FDCF6A6AA53_\AR">DPGF!$B$100</definedName>
    <definedName name="DESI_F74ED06EB9C57A48B7E883A3BD524B62_\AR">DPGF!$B$36</definedName>
    <definedName name="DESI_F9E72DB6DE14244CB1731CA06B3E44E5_\AR">DPGF!$B$35</definedName>
    <definedName name="DESI_FFF842A5D476E147A46759B985A7D837_\AR">DPGF!$B$56</definedName>
    <definedName name="divst">#REF!</definedName>
    <definedName name="E">#REF!</definedName>
    <definedName name="Enregistrement1" xlm="1" shortcutKey="a">[3]MAC!#REF!</definedName>
    <definedName name="F">#REF!</definedName>
    <definedName name="_xlnm.Recorder">#REF!</definedName>
    <definedName name="fsp">#REF!</definedName>
    <definedName name="G">#REF!</definedName>
    <definedName name="gb">#REF!</definedName>
    <definedName name="H">#REF!</definedName>
    <definedName name="ha">#REF!</definedName>
    <definedName name="I">#REF!</definedName>
    <definedName name="IFL">#REF!</definedName>
    <definedName name="IGL">#REF!</definedName>
    <definedName name="IMPRESSION">#REF!</definedName>
    <definedName name="IPL">#REF!</definedName>
    <definedName name="J">#REF!</definedName>
    <definedName name="JJ">#REF!</definedName>
    <definedName name="K">#REF!</definedName>
    <definedName name="L_">#REF!</definedName>
    <definedName name="M">#REF!</definedName>
    <definedName name="mac">#REF!</definedName>
    <definedName name="MACRO">#REF!</definedName>
    <definedName name="Macro10" description="Macro enregistrée le 30/03/1995 par GUINAMARD Bertrand" xlm="1">#REF!</definedName>
    <definedName name="Macro8" description="Macro enregistrée le 30/03/1995 par GUINAMARD Bertrand" xlm="1">#REF!</definedName>
    <definedName name="Macro9" description="Macro enregistrée le 30/03/1995 par GUINAMARD Bertrand" xlm="1">#REF!</definedName>
    <definedName name="mces">#REF!</definedName>
    <definedName name="men">#REF!</definedName>
    <definedName name="mgo">#REF!</definedName>
    <definedName name="N">#REF!</definedName>
    <definedName name="NCHANTIER">#REF!</definedName>
    <definedName name="O">#REF!</definedName>
    <definedName name="P">#REF!</definedName>
    <definedName name="PAGE1">#REF!</definedName>
    <definedName name="PAGE10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ei">#REF!</definedName>
    <definedName name="PU_002C3F5FF7C3E240B1C1208270C61B9D">DPGF!$E$12</definedName>
    <definedName name="PU_0042D5ABF2FD704CA018F7F2E851E7A5">DPGF!$E$92</definedName>
    <definedName name="PU_004F9DC109DBD6408D975C6C0EC4FD0C">DPGF!$E$91</definedName>
    <definedName name="PU_087C7EE507252E4F8BD45A8806FDED9A">DPGF!$E$27</definedName>
    <definedName name="PU_0881825AEDD5DD47864E6C799648FF37">DPGF!$E$34</definedName>
    <definedName name="PU_0B16F0AB18DA4E4E9990DDF956444384">DPGF!$E$94</definedName>
    <definedName name="PU_0CC4199427A2E2469152257A82CC2DAC">DPGF!$E$20</definedName>
    <definedName name="PU_124472292ABC0E4FA14BE8C43AF1A6E1">DPGF!$E$88</definedName>
    <definedName name="PU_124F9B3DB0E8584389CE99067F584836">DPGF!$E$15</definedName>
    <definedName name="PU_1852A9D179075F4989A7EC907612824D">DPGF!$E$97</definedName>
    <definedName name="PU_1A753459AEA5BA438F656D9CBE9BC3D1">DPGF!$E$80</definedName>
    <definedName name="PU_1C43AB326C8E8548BCDCCB5C36A3D726">DPGF!$E$60</definedName>
    <definedName name="PU_200CB7CB860ADC4E8BD4C74E78E0E9B5">DPGF!$E$44</definedName>
    <definedName name="PU_23E5DC04DA5E8545A0C140F3446B53D7">DPGF!$E$67</definedName>
    <definedName name="PU_248E33850274454BB5987D07C901C088">DPGF!$E$40</definedName>
    <definedName name="PU_24DFC4DB4EBEE041B7B9FFB4773748C6">DPGF!#REF!</definedName>
    <definedName name="PU_29466FD90C9918439FCE9574D2F07872">DPGF!$E$96</definedName>
    <definedName name="PU_2A2AC132464ABF41BAED11951A86E23C">DPGF!$E$43</definedName>
    <definedName name="PU_2CA4867206C9074A980DB5CC1B68E096">DPGF!$E$104</definedName>
    <definedName name="PU_2E1C084FFABB8C41BD373B70019C076E">DPGF!$E$90</definedName>
    <definedName name="PU_2FB78EC8FD38464A801032590A64E7EB">DPGF!$E$81</definedName>
    <definedName name="PU_322535B1B13A8347AF6193E656A4D41A">DPGF!$E$76</definedName>
    <definedName name="PU_3673F106327FF1488243E6A7EE2CF665">DPGF!$E$103</definedName>
    <definedName name="PU_36748D7FA4E82C47AB34DAA2AE47B567">DPGF!$E$28</definedName>
    <definedName name="PU_3B864E1442380140BAFBBC2682C26468">DPGF!$E$68</definedName>
    <definedName name="PU_42B7833FF03A5841AEC778CF2677A481">DPGF!$E$18</definedName>
    <definedName name="PU_434153E06F4CE346A339B7D70E1BCD36">DPGF!$E$85</definedName>
    <definedName name="PU_4486F64D97665948ABC256303FD5BC72">DPGF!$E$30</definedName>
    <definedName name="PU_4565B0D237DA2F489A23C92D6ABD9137">DPGF!$E$55</definedName>
    <definedName name="PU_46E6A676ED2D6344B20356E0D87A14B1">DPGF!$E$65</definedName>
    <definedName name="PU_482BD897C9E1214ABAC390FD587DE4FF">DPGF!$E$61</definedName>
    <definedName name="PU_49C7A8D3A1A54740A2D6065EAC023169">DPGF!$E$39</definedName>
    <definedName name="PU_4B283B0939D7094A82FD203080325F47">DPGF!$E$78</definedName>
    <definedName name="PU_4EFA71F5CF773E4F9634CB2CDD38ED32">DPGF!$E$25</definedName>
    <definedName name="PU_5169D268BEBF504B95890BA1AE707FBB">DPGF!$E$93</definedName>
    <definedName name="PU_56E60BC1A721A441AE6A389E380010C9">DPGF!$E$26</definedName>
    <definedName name="PU_5703458808556F4296B8657815E04060">DPGF!$E$69</definedName>
    <definedName name="PU_576FFE175D828342ACEB91F792CC5551">DPGF!$E$22</definedName>
    <definedName name="PU_6018F86580FB2042A3EB0947D2965877">DPGF!#REF!</definedName>
    <definedName name="PU_60B5CA90A9FC894EA470492890C9B48D">DPGF!$E$49</definedName>
    <definedName name="PU_6243A67A163FD644B51392D24CFC5801">DPGF!$E$87</definedName>
    <definedName name="PU_62EFAEB8660F1E4DA4FC9AC114B1A39A">DPGF!$E$41</definedName>
    <definedName name="PU_650F5C1F3391F9489B23F2154D4E9DD2">DPGF!$E$42</definedName>
    <definedName name="PU_65A2DE22CD8AC54D938D84CC0DD45F08">DPGF!$E$37</definedName>
    <definedName name="PU_666563DC79E4C64AAA0C043620D3D7E1">DPGF!$E$102</definedName>
    <definedName name="PU_695FFA905C9376408A1D1282EE1A5781">DPGF!$E$75</definedName>
    <definedName name="PU_707372DD85BC944EB18C8A179463C4C5">DPGF!$E$19</definedName>
    <definedName name="PU_758BC7E7DDD6D8408D282DE7AA0D6292">DPGF!$E$13</definedName>
    <definedName name="PU_7657335925D3DB47846FF3FEA6A27CB1">DPGF!$E$53</definedName>
    <definedName name="PU_789894BB61BA8D49A080301B1CDA601E">DPGF!$E$48</definedName>
    <definedName name="PU_79441771764B8D478EF2A9D32F7B917A">DPGF!$E$86</definedName>
    <definedName name="PU_7DC06580A1D0184E9F385C3C5CD7404E">DPGF!$E$54</definedName>
    <definedName name="PU_7F3AF47719EDFF4A815413B23377E394">DPGF!$E$32</definedName>
    <definedName name="PU_7F8D18958455BE498257112751BD136E">DPGF!$E$47</definedName>
    <definedName name="PU_8164CDBB8883CA428BB6CEDC47ED92C1">DPGF!$E$33</definedName>
    <definedName name="PU_81EF6DE6239F3148947BEF1D516AA7A6">DPGF!$E$14</definedName>
    <definedName name="PU_82BA7F2F2BF2E5488A076FC25027E765">DPGF!$E$16</definedName>
    <definedName name="PU_83E00C98B46C5840960D39BE0B93CA5F">DPGF!$E$21</definedName>
    <definedName name="PU_8595969957196443B1464934A16A1A57">DPGF!$E$84</definedName>
    <definedName name="PU_862B77479B25384F9F77E5B46B39EF89">DPGF!$E$70</definedName>
    <definedName name="PU_89FB1987A84EF948A1803FAB2370102A">DPGF!$E$72</definedName>
    <definedName name="PU_8A77B69BADFF41488631F5DB1BA13B54">DPGF!$E$71</definedName>
    <definedName name="PU_8CC372887E837F49A827FD1131437708">DPGF!$E$50</definedName>
    <definedName name="PU_937AA782D759B6498A1F8E8041956E9C">DPGF!$E$23</definedName>
    <definedName name="PU_948645338E73E64EB3C90C8F090FE63E">DPGF!$E$46</definedName>
    <definedName name="PU_94990FEDF2AD6A429B1DA6A29DA70FFA">DPGF!$E$82</definedName>
    <definedName name="PU_971ED7F55BCBAE4CBC4935820474DD68">DPGF!$E$64</definedName>
    <definedName name="PU_9B7A640DF8D4DB4C8E18E0635243A9D7">DPGF!$E$29</definedName>
    <definedName name="PU_A8C6B9AEB5C93247AFD3A8AE0BBDB36C">DPGF!$E$79</definedName>
    <definedName name="PU_A8FCDBD5CFEAFA4F9734154E37FB6391">DPGF!$E$73</definedName>
    <definedName name="PU_ADF2995D0A121F4FA9964E4F19E4E4B5">DPGF!$E$95</definedName>
    <definedName name="PU_AFF1C8B8B19A1448A9E967C3EAFE0253">DPGF!$E$74</definedName>
    <definedName name="PU_B3695545C320F84A8BB1A8E102D8BCD1">DPGF!$E$17</definedName>
    <definedName name="PU_B5391CA31166ED448AF321F55A8E13ED">DPGF!$E$83</definedName>
    <definedName name="PU_B88B5034B2C5EE4591380B6DD20CB1DF">DPGF!$E$62</definedName>
    <definedName name="PU_BCD62E7B50914D4D8B2A3CAF3BD0D866">DPGF!$E$52</definedName>
    <definedName name="PU_BF10F927125E17418C6A8BD0BEF12E30">DPGF!$E$58</definedName>
    <definedName name="PU_C1C97AB1BE4F4C4092696F3E3B87C07C">DPGF!$E$57</definedName>
    <definedName name="PU_C29C14647EA7F24099D3D08CD03AD193">DPGF!$E$77</definedName>
    <definedName name="PU_C6A293681DB4A143B216C150BBE73A24">DPGF!$E$98</definedName>
    <definedName name="PU_CA96FCA66BAE9248B17892AE63EB9DEF">DPGF!$E$101</definedName>
    <definedName name="PU_CC8A04E50A2DC640961B82D224700CE5">DPGF!$E$59</definedName>
    <definedName name="PU_D4968B6089541F44BF61681BF12EB86E">DPGF!$E$24</definedName>
    <definedName name="PU_DBF36E3C3AA4AD49B7185C16CFE850C2">DPGF!$E$51</definedName>
    <definedName name="PU_E4BC96CDFF07084D818E996D9BC528E4">DPGF!$E$38</definedName>
    <definedName name="PU_E4DE771186151E4BBB68DB4BB36BB53F">DPGF!$E$66</definedName>
    <definedName name="PU_E7F41FE139056D49A1AB3B8BD5870994">DPGF!$E$63</definedName>
    <definedName name="PU_E84FB55985F080499E020DCD8A1EA693">DPGF!$E$99</definedName>
    <definedName name="PU_EC7EB30037C8FA439A28D58D1399C970">DPGF!$E$11</definedName>
    <definedName name="PU_EC9A749DBCA44544834F0ADA608BC96A">DPGF!$E$31</definedName>
    <definedName name="PU_EF128B28B17DA149B3DD8E45C676C081">DPGF!$E$89</definedName>
    <definedName name="PU_F29C705FF768834983086FDCF6A6AA53">DPGF!$E$100</definedName>
    <definedName name="PU_F74ED06EB9C57A48B7E883A3BD524B62">DPGF!$E$36</definedName>
    <definedName name="PU_F886BF05EDB3EE4D8D5C87E351D82DE9">DPGF!#REF!</definedName>
    <definedName name="PU_F9E72DB6DE14244CB1731CA06B3E44E5">DPGF!$E$35</definedName>
    <definedName name="PU_FFF842A5D476E147A46759B985A7D837">DPGF!$E$56</definedName>
    <definedName name="q">#REF!</definedName>
    <definedName name="QTE_002C3F5FF7C3E240B1C1208270C61B9D">DPGF!$C$12</definedName>
    <definedName name="QTE_0042D5ABF2FD704CA018F7F2E851E7A5">DPGF!$C$92</definedName>
    <definedName name="QTE_004F9DC109DBD6408D975C6C0EC4FD0C">DPGF!$C$91</definedName>
    <definedName name="QTE_087C7EE507252E4F8BD45A8806FDED9A">DPGF!$C$27</definedName>
    <definedName name="QTE_0881825AEDD5DD47864E6C799648FF37">DPGF!$C$34</definedName>
    <definedName name="QTE_0B16F0AB18DA4E4E9990DDF956444384">DPGF!$C$94</definedName>
    <definedName name="QTE_0CC4199427A2E2469152257A82CC2DAC">DPGF!$C$20</definedName>
    <definedName name="QTE_124472292ABC0E4FA14BE8C43AF1A6E1">DPGF!$C$88</definedName>
    <definedName name="QTE_124F9B3DB0E8584389CE99067F584836">DPGF!$C$15</definedName>
    <definedName name="QTE_1852A9D179075F4989A7EC907612824D">DPGF!$C$97</definedName>
    <definedName name="QTE_1A753459AEA5BA438F656D9CBE9BC3D1">DPGF!$C$80</definedName>
    <definedName name="QTE_1C43AB326C8E8548BCDCCB5C36A3D726">DPGF!$C$60</definedName>
    <definedName name="QTE_200CB7CB860ADC4E8BD4C74E78E0E9B5">DPGF!$C$44</definedName>
    <definedName name="QTE_23E5DC04DA5E8545A0C140F3446B53D7">DPGF!$C$67</definedName>
    <definedName name="QTE_248E33850274454BB5987D07C901C088">DPGF!$C$40</definedName>
    <definedName name="QTE_24DFC4DB4EBEE041B7B9FFB4773748C6">DPGF!#REF!</definedName>
    <definedName name="QTE_29466FD90C9918439FCE9574D2F07872">DPGF!$C$96</definedName>
    <definedName name="QTE_2A2AC132464ABF41BAED11951A86E23C">DPGF!$C$43</definedName>
    <definedName name="QTE_2CA4867206C9074A980DB5CC1B68E096">DPGF!$C$104</definedName>
    <definedName name="QTE_2E1C084FFABB8C41BD373B70019C076E">DPGF!$C$90</definedName>
    <definedName name="QTE_2FB78EC8FD38464A801032590A64E7EB">DPGF!$C$81</definedName>
    <definedName name="QTE_322535B1B13A8347AF6193E656A4D41A">DPGF!$C$76</definedName>
    <definedName name="QTE_3673F106327FF1488243E6A7EE2CF665">DPGF!$C$103</definedName>
    <definedName name="QTE_36748D7FA4E82C47AB34DAA2AE47B567">DPGF!$C$28</definedName>
    <definedName name="QTE_3B864E1442380140BAFBBC2682C26468">DPGF!$C$68</definedName>
    <definedName name="QTE_42B7833FF03A5841AEC778CF2677A481">DPGF!$C$18</definedName>
    <definedName name="QTE_434153E06F4CE346A339B7D70E1BCD36">DPGF!$C$85</definedName>
    <definedName name="QTE_4486F64D97665948ABC256303FD5BC72">DPGF!$C$30</definedName>
    <definedName name="QTE_4565B0D237DA2F489A23C92D6ABD9137">DPGF!$C$55</definedName>
    <definedName name="QTE_46E6A676ED2D6344B20356E0D87A14B1">DPGF!$C$65</definedName>
    <definedName name="QTE_482BD897C9E1214ABAC390FD587DE4FF">DPGF!$C$61</definedName>
    <definedName name="QTE_49C7A8D3A1A54740A2D6065EAC023169">DPGF!$C$39</definedName>
    <definedName name="QTE_4B283B0939D7094A82FD203080325F47">DPGF!$C$78</definedName>
    <definedName name="QTE_4EFA71F5CF773E4F9634CB2CDD38ED32">DPGF!$C$25</definedName>
    <definedName name="QTE_5169D268BEBF504B95890BA1AE707FBB">DPGF!$C$93</definedName>
    <definedName name="QTE_56E60BC1A721A441AE6A389E380010C9">DPGF!$C$26</definedName>
    <definedName name="QTE_5703458808556F4296B8657815E04060">DPGF!$C$69</definedName>
    <definedName name="QTE_576FFE175D828342ACEB91F792CC5551">DPGF!$C$22</definedName>
    <definedName name="QTE_6018F86580FB2042A3EB0947D2965877">DPGF!#REF!</definedName>
    <definedName name="QTE_60B5CA90A9FC894EA470492890C9B48D">DPGF!$C$49</definedName>
    <definedName name="QTE_6243A67A163FD644B51392D24CFC5801">DPGF!$C$87</definedName>
    <definedName name="QTE_62EFAEB8660F1E4DA4FC9AC114B1A39A">DPGF!$C$41</definedName>
    <definedName name="QTE_650F5C1F3391F9489B23F2154D4E9DD2">DPGF!$C$42</definedName>
    <definedName name="QTE_65A2DE22CD8AC54D938D84CC0DD45F08">DPGF!$C$37</definedName>
    <definedName name="QTE_666563DC79E4C64AAA0C043620D3D7E1">DPGF!$C$102</definedName>
    <definedName name="QTE_695FFA905C9376408A1D1282EE1A5781">DPGF!$C$75</definedName>
    <definedName name="QTE_707372DD85BC944EB18C8A179463C4C5">DPGF!$C$19</definedName>
    <definedName name="QTE_758BC7E7DDD6D8408D282DE7AA0D6292">DPGF!$C$13</definedName>
    <definedName name="QTE_7657335925D3DB47846FF3FEA6A27CB1">DPGF!$C$53</definedName>
    <definedName name="QTE_789894BB61BA8D49A080301B1CDA601E">DPGF!$C$48</definedName>
    <definedName name="QTE_79441771764B8D478EF2A9D32F7B917A">DPGF!$C$86</definedName>
    <definedName name="QTE_7DC06580A1D0184E9F385C3C5CD7404E">DPGF!$C$54</definedName>
    <definedName name="QTE_7F3AF47719EDFF4A815413B23377E394">DPGF!$C$32</definedName>
    <definedName name="QTE_7F8D18958455BE498257112751BD136E">DPGF!$C$47</definedName>
    <definedName name="QTE_8164CDBB8883CA428BB6CEDC47ED92C1">DPGF!$C$33</definedName>
    <definedName name="QTE_81EF6DE6239F3148947BEF1D516AA7A6">DPGF!$C$14</definedName>
    <definedName name="QTE_82BA7F2F2BF2E5488A076FC25027E765">DPGF!$C$16</definedName>
    <definedName name="QTE_83E00C98B46C5840960D39BE0B93CA5F">DPGF!$C$21</definedName>
    <definedName name="QTE_8595969957196443B1464934A16A1A57">DPGF!$C$84</definedName>
    <definedName name="QTE_862B77479B25384F9F77E5B46B39EF89">DPGF!$C$70</definedName>
    <definedName name="QTE_89FB1987A84EF948A1803FAB2370102A">DPGF!$C$72</definedName>
    <definedName name="QTE_8A77B69BADFF41488631F5DB1BA13B54">DPGF!$C$71</definedName>
    <definedName name="QTE_8CC372887E837F49A827FD1131437708">DPGF!$C$50</definedName>
    <definedName name="QTE_937AA782D759B6498A1F8E8041956E9C">DPGF!$C$23</definedName>
    <definedName name="QTE_948645338E73E64EB3C90C8F090FE63E">DPGF!$C$46</definedName>
    <definedName name="QTE_94990FEDF2AD6A429B1DA6A29DA70FFA">DPGF!$C$82</definedName>
    <definedName name="QTE_971ED7F55BCBAE4CBC4935820474DD68">DPGF!$C$64</definedName>
    <definedName name="QTE_9B7A640DF8D4DB4C8E18E0635243A9D7">DPGF!$C$29</definedName>
    <definedName name="QTE_A8C6B9AEB5C93247AFD3A8AE0BBDB36C">DPGF!$C$79</definedName>
    <definedName name="QTE_A8FCDBD5CFEAFA4F9734154E37FB6391">DPGF!$C$73</definedName>
    <definedName name="QTE_ADF2995D0A121F4FA9964E4F19E4E4B5">DPGF!$C$95</definedName>
    <definedName name="QTE_AFF1C8B8B19A1448A9E967C3EAFE0253">DPGF!$C$74</definedName>
    <definedName name="QTE_B3695545C320F84A8BB1A8E102D8BCD1">DPGF!$C$17</definedName>
    <definedName name="QTE_B5391CA31166ED448AF321F55A8E13ED">DPGF!$C$83</definedName>
    <definedName name="QTE_B88B5034B2C5EE4591380B6DD20CB1DF">DPGF!$C$62</definedName>
    <definedName name="QTE_BCD62E7B50914D4D8B2A3CAF3BD0D866">DPGF!$C$52</definedName>
    <definedName name="QTE_BF10F927125E17418C6A8BD0BEF12E30">DPGF!$C$58</definedName>
    <definedName name="QTE_C1C97AB1BE4F4C4092696F3E3B87C07C">DPGF!$C$57</definedName>
    <definedName name="QTE_C29C14647EA7F24099D3D08CD03AD193">DPGF!$C$77</definedName>
    <definedName name="QTE_C6A293681DB4A143B216C150BBE73A24">DPGF!$C$98</definedName>
    <definedName name="QTE_CA96FCA66BAE9248B17892AE63EB9DEF">DPGF!$C$101</definedName>
    <definedName name="QTE_CC8A04E50A2DC640961B82D224700CE5">DPGF!$C$59</definedName>
    <definedName name="QTE_D4968B6089541F44BF61681BF12EB86E">DPGF!$C$24</definedName>
    <definedName name="QTE_DBF36E3C3AA4AD49B7185C16CFE850C2">DPGF!$C$51</definedName>
    <definedName name="QTE_E4BC96CDFF07084D818E996D9BC528E4">DPGF!$C$38</definedName>
    <definedName name="QTE_E4DE771186151E4BBB68DB4BB36BB53F">DPGF!$C$66</definedName>
    <definedName name="QTE_E7F41FE139056D49A1AB3B8BD5870994">DPGF!$C$63</definedName>
    <definedName name="QTE_E84FB55985F080499E020DCD8A1EA693">DPGF!$C$99</definedName>
    <definedName name="QTE_EC7EB30037C8FA439A28D58D1399C970">DPGF!$C$11</definedName>
    <definedName name="QTE_EC9A749DBCA44544834F0ADA608BC96A">DPGF!$C$31</definedName>
    <definedName name="QTE_EF128B28B17DA149B3DD8E45C676C081">DPGF!$C$89</definedName>
    <definedName name="QTE_F29C705FF768834983086FDCF6A6AA53">DPGF!$C$100</definedName>
    <definedName name="QTE_F74ED06EB9C57A48B7E883A3BD524B62">DPGF!$C$36</definedName>
    <definedName name="QTE_F886BF05EDB3EE4D8D5C87E351D82DE9">DPGF!#REF!</definedName>
    <definedName name="QTE_F9E72DB6DE14244CB1731CA06B3E44E5">DPGF!$C$35</definedName>
    <definedName name="QTE_FFF842A5D476E147A46759B985A7D837">DPGF!$C$56</definedName>
    <definedName name="rav">#REF!</definedName>
    <definedName name="redac">'[1]RECAP DEBOURS'!#REF!</definedName>
    <definedName name="retour_deb_st" xlm="1" shortcutKey="e">[3]MAC!#REF!</definedName>
    <definedName name="S">#REF!</definedName>
    <definedName name="ser">#REF!</definedName>
    <definedName name="st">#REF!</definedName>
    <definedName name="ST02A">'[1]LOT 2- Etanchéité'!#REF!</definedName>
    <definedName name="T">#REF!</definedName>
    <definedName name="ter">#REF!</definedName>
    <definedName name="THM">[3]CES1P!#REF!</definedName>
    <definedName name="TMH">#REF!</definedName>
    <definedName name="totdep">#REF!</definedName>
    <definedName name="ts">#REF!</definedName>
    <definedName name="U">#REF!</definedName>
    <definedName name="UNITE_002C3F5FF7C3E240B1C1208270C61B9D">DPGF!$D$12</definedName>
    <definedName name="UNITE_0042D5ABF2FD704CA018F7F2E851E7A5">DPGF!$D$92</definedName>
    <definedName name="UNITE_004F9DC109DBD6408D975C6C0EC4FD0C">DPGF!$D$91</definedName>
    <definedName name="UNITE_087C7EE507252E4F8BD45A8806FDED9A">DPGF!$D$27</definedName>
    <definedName name="UNITE_0881825AEDD5DD47864E6C799648FF37">DPGF!$D$34</definedName>
    <definedName name="UNITE_0B16F0AB18DA4E4E9990DDF956444384">DPGF!$D$94</definedName>
    <definedName name="UNITE_0CC4199427A2E2469152257A82CC2DAC">DPGF!$D$20</definedName>
    <definedName name="UNITE_124472292ABC0E4FA14BE8C43AF1A6E1">DPGF!$D$88</definedName>
    <definedName name="UNITE_124F9B3DB0E8584389CE99067F584836">DPGF!$D$15</definedName>
    <definedName name="UNITE_1852A9D179075F4989A7EC907612824D">DPGF!$D$97</definedName>
    <definedName name="UNITE_1A753459AEA5BA438F656D9CBE9BC3D1">DPGF!$D$80</definedName>
    <definedName name="UNITE_1C43AB326C8E8548BCDCCB5C36A3D726">DPGF!$D$60</definedName>
    <definedName name="UNITE_200CB7CB860ADC4E8BD4C74E78E0E9B5">DPGF!$D$44</definedName>
    <definedName name="UNITE_23E5DC04DA5E8545A0C140F3446B53D7">DPGF!$D$67</definedName>
    <definedName name="UNITE_248E33850274454BB5987D07C901C088">DPGF!$D$40</definedName>
    <definedName name="UNITE_24DFC4DB4EBEE041B7B9FFB4773748C6">DPGF!#REF!</definedName>
    <definedName name="UNITE_29466FD90C9918439FCE9574D2F07872">DPGF!$D$96</definedName>
    <definedName name="UNITE_2A2AC132464ABF41BAED11951A86E23C">DPGF!$D$43</definedName>
    <definedName name="UNITE_2CA4867206C9074A980DB5CC1B68E096">DPGF!$D$104</definedName>
    <definedName name="UNITE_2E1C084FFABB8C41BD373B70019C076E">DPGF!$D$90</definedName>
    <definedName name="UNITE_2FB78EC8FD38464A801032590A64E7EB">DPGF!$D$81</definedName>
    <definedName name="UNITE_322535B1B13A8347AF6193E656A4D41A">DPGF!$D$76</definedName>
    <definedName name="UNITE_3673F106327FF1488243E6A7EE2CF665">DPGF!$D$103</definedName>
    <definedName name="UNITE_36748D7FA4E82C47AB34DAA2AE47B567">DPGF!$D$28</definedName>
    <definedName name="UNITE_3B864E1442380140BAFBBC2682C26468">DPGF!$D$68</definedName>
    <definedName name="UNITE_42B7833FF03A5841AEC778CF2677A481">DPGF!$D$18</definedName>
    <definedName name="UNITE_434153E06F4CE346A339B7D70E1BCD36">DPGF!$D$85</definedName>
    <definedName name="UNITE_4486F64D97665948ABC256303FD5BC72">DPGF!$D$30</definedName>
    <definedName name="UNITE_4565B0D237DA2F489A23C92D6ABD9137">DPGF!$D$55</definedName>
    <definedName name="UNITE_46E6A676ED2D6344B20356E0D87A14B1">DPGF!$D$65</definedName>
    <definedName name="UNITE_482BD897C9E1214ABAC390FD587DE4FF">DPGF!$D$61</definedName>
    <definedName name="UNITE_49C7A8D3A1A54740A2D6065EAC023169">DPGF!$D$39</definedName>
    <definedName name="UNITE_4B283B0939D7094A82FD203080325F47">DPGF!$D$78</definedName>
    <definedName name="UNITE_4EFA71F5CF773E4F9634CB2CDD38ED32">DPGF!$D$25</definedName>
    <definedName name="UNITE_5169D268BEBF504B95890BA1AE707FBB">DPGF!$D$93</definedName>
    <definedName name="UNITE_56E60BC1A721A441AE6A389E380010C9">DPGF!$D$26</definedName>
    <definedName name="UNITE_5703458808556F4296B8657815E04060">DPGF!$D$69</definedName>
    <definedName name="UNITE_576FFE175D828342ACEB91F792CC5551">DPGF!$D$22</definedName>
    <definedName name="UNITE_6018F86580FB2042A3EB0947D2965877">DPGF!#REF!</definedName>
    <definedName name="UNITE_60B5CA90A9FC894EA470492890C9B48D">DPGF!$D$49</definedName>
    <definedName name="UNITE_6243A67A163FD644B51392D24CFC5801">DPGF!$D$87</definedName>
    <definedName name="UNITE_62EFAEB8660F1E4DA4FC9AC114B1A39A">DPGF!$D$41</definedName>
    <definedName name="UNITE_650F5C1F3391F9489B23F2154D4E9DD2">DPGF!$D$42</definedName>
    <definedName name="UNITE_65A2DE22CD8AC54D938D84CC0DD45F08">DPGF!$D$37</definedName>
    <definedName name="UNITE_666563DC79E4C64AAA0C043620D3D7E1">DPGF!$D$102</definedName>
    <definedName name="UNITE_695FFA905C9376408A1D1282EE1A5781">DPGF!$D$75</definedName>
    <definedName name="UNITE_707372DD85BC944EB18C8A179463C4C5">DPGF!$D$19</definedName>
    <definedName name="UNITE_758BC7E7DDD6D8408D282DE7AA0D6292">DPGF!$D$13</definedName>
    <definedName name="UNITE_7657335925D3DB47846FF3FEA6A27CB1">DPGF!$D$53</definedName>
    <definedName name="UNITE_789894BB61BA8D49A080301B1CDA601E">DPGF!$D$48</definedName>
    <definedName name="UNITE_79441771764B8D478EF2A9D32F7B917A">DPGF!$D$86</definedName>
    <definedName name="UNITE_7DC06580A1D0184E9F385C3C5CD7404E">DPGF!$D$54</definedName>
    <definedName name="UNITE_7F3AF47719EDFF4A815413B23377E394">DPGF!$D$32</definedName>
    <definedName name="UNITE_7F8D18958455BE498257112751BD136E">DPGF!$D$47</definedName>
    <definedName name="UNITE_8164CDBB8883CA428BB6CEDC47ED92C1">DPGF!$D$33</definedName>
    <definedName name="UNITE_81EF6DE6239F3148947BEF1D516AA7A6">DPGF!$D$14</definedName>
    <definedName name="UNITE_82BA7F2F2BF2E5488A076FC25027E765">DPGF!$D$16</definedName>
    <definedName name="UNITE_83E00C98B46C5840960D39BE0B93CA5F">DPGF!$D$21</definedName>
    <definedName name="UNITE_8595969957196443B1464934A16A1A57">DPGF!$D$84</definedName>
    <definedName name="UNITE_862B77479B25384F9F77E5B46B39EF89">DPGF!$D$70</definedName>
    <definedName name="UNITE_89FB1987A84EF948A1803FAB2370102A">DPGF!$D$72</definedName>
    <definedName name="UNITE_8A77B69BADFF41488631F5DB1BA13B54">DPGF!$D$71</definedName>
    <definedName name="UNITE_8CC372887E837F49A827FD1131437708">DPGF!$D$50</definedName>
    <definedName name="UNITE_937AA782D759B6498A1F8E8041956E9C">DPGF!$D$23</definedName>
    <definedName name="UNITE_948645338E73E64EB3C90C8F090FE63E">DPGF!$D$46</definedName>
    <definedName name="UNITE_94990FEDF2AD6A429B1DA6A29DA70FFA">DPGF!$D$82</definedName>
    <definedName name="UNITE_971ED7F55BCBAE4CBC4935820474DD68">DPGF!$D$64</definedName>
    <definedName name="UNITE_9B7A640DF8D4DB4C8E18E0635243A9D7">DPGF!$D$29</definedName>
    <definedName name="UNITE_A8C6B9AEB5C93247AFD3A8AE0BBDB36C">DPGF!$D$79</definedName>
    <definedName name="UNITE_A8FCDBD5CFEAFA4F9734154E37FB6391">DPGF!$D$73</definedName>
    <definedName name="UNITE_ADF2995D0A121F4FA9964E4F19E4E4B5">DPGF!$D$95</definedName>
    <definedName name="UNITE_AFF1C8B8B19A1448A9E967C3EAFE0253">DPGF!$D$74</definedName>
    <definedName name="UNITE_B3695545C320F84A8BB1A8E102D8BCD1">DPGF!$D$17</definedName>
    <definedName name="UNITE_B5391CA31166ED448AF321F55A8E13ED">DPGF!$D$83</definedName>
    <definedName name="UNITE_B88B5034B2C5EE4591380B6DD20CB1DF">DPGF!$D$62</definedName>
    <definedName name="UNITE_BCD62E7B50914D4D8B2A3CAF3BD0D866">DPGF!$D$52</definedName>
    <definedName name="UNITE_BF10F927125E17418C6A8BD0BEF12E30">DPGF!$D$58</definedName>
    <definedName name="UNITE_C1C97AB1BE4F4C4092696F3E3B87C07C">DPGF!$D$57</definedName>
    <definedName name="UNITE_C29C14647EA7F24099D3D08CD03AD193">DPGF!$D$77</definedName>
    <definedName name="UNITE_C6A293681DB4A143B216C150BBE73A24">DPGF!$D$98</definedName>
    <definedName name="UNITE_CA96FCA66BAE9248B17892AE63EB9DEF">DPGF!$D$101</definedName>
    <definedName name="UNITE_CC8A04E50A2DC640961B82D224700CE5">DPGF!$D$59</definedName>
    <definedName name="UNITE_D4968B6089541F44BF61681BF12EB86E">DPGF!$D$24</definedName>
    <definedName name="UNITE_DBF36E3C3AA4AD49B7185C16CFE850C2">DPGF!$D$51</definedName>
    <definedName name="UNITE_E4BC96CDFF07084D818E996D9BC528E4">DPGF!$D$38</definedName>
    <definedName name="UNITE_E4DE771186151E4BBB68DB4BB36BB53F">DPGF!$D$66</definedName>
    <definedName name="UNITE_E7F41FE139056D49A1AB3B8BD5870994">DPGF!$D$63</definedName>
    <definedName name="UNITE_E84FB55985F080499E020DCD8A1EA693">DPGF!$D$99</definedName>
    <definedName name="UNITE_EC7EB30037C8FA439A28D58D1399C970">DPGF!$D$11</definedName>
    <definedName name="UNITE_EC9A749DBCA44544834F0ADA608BC96A">DPGF!$D$31</definedName>
    <definedName name="UNITE_EF128B28B17DA149B3DD8E45C676C081">DPGF!$D$89</definedName>
    <definedName name="UNITE_F29C705FF768834983086FDCF6A6AA53">DPGF!$D$100</definedName>
    <definedName name="UNITE_F74ED06EB9C57A48B7E883A3BD524B62">DPGF!$D$36</definedName>
    <definedName name="UNITE_F886BF05EDB3EE4D8D5C87E351D82DE9">DPGF!#REF!</definedName>
    <definedName name="UNITE_F9E72DB6DE14244CB1731CA06B3E44E5">DPGF!$D$35</definedName>
    <definedName name="UNITE_FFF842A5D476E147A46759B985A7D837">DPGF!$D$56</definedName>
    <definedName name="V">#REF!</definedName>
    <definedName name="W">#REF!</definedName>
    <definedName name="x">#REF!</definedName>
    <definedName name="Y">#REF!</definedName>
    <definedName name="Z">#REF!</definedName>
    <definedName name="_xlnm.Print_Area" localSheetId="0">DPGF!$A$1:$F$110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4" i="42" l="1"/>
  <c r="F102" i="42"/>
  <c r="F100" i="42"/>
  <c r="F99" i="42"/>
  <c r="F97" i="42"/>
  <c r="F34" i="42"/>
  <c r="F28" i="42"/>
  <c r="F19" i="42"/>
  <c r="F16" i="42"/>
  <c r="F15" i="42"/>
  <c r="F14" i="42"/>
  <c r="F13" i="42"/>
  <c r="F77" i="42" l="1"/>
  <c r="F90" i="42" l="1"/>
  <c r="F79" i="42"/>
  <c r="F78" i="42"/>
  <c r="F80" i="42"/>
  <c r="F73" i="42"/>
  <c r="F75" i="42"/>
  <c r="F74" i="42"/>
  <c r="F72" i="42"/>
  <c r="F68" i="42"/>
  <c r="F69" i="42"/>
  <c r="F65" i="42"/>
  <c r="F58" i="42"/>
  <c r="F56" i="42"/>
  <c r="F57" i="42"/>
  <c r="F87" i="42" l="1"/>
  <c r="F88" i="42"/>
  <c r="F86" i="42"/>
  <c r="F83" i="42" l="1"/>
  <c r="F18" i="42" l="1"/>
  <c r="F21" i="42"/>
  <c r="F20" i="42" l="1"/>
  <c r="F52" i="42" l="1"/>
  <c r="F53" i="42" l="1"/>
  <c r="F54" i="42" l="1"/>
  <c r="F50" i="42" l="1"/>
  <c r="F48" i="42"/>
  <c r="F49" i="42"/>
  <c r="F33" i="42" l="1"/>
  <c r="F60" i="42" l="1"/>
  <c r="F92" i="42" l="1"/>
  <c r="F94" i="42"/>
  <c r="F71" i="42"/>
  <c r="F61" i="42" l="1"/>
  <c r="F62" i="42"/>
  <c r="F63" i="42"/>
  <c r="F45" i="42"/>
  <c r="F41" i="42"/>
  <c r="F38" i="42"/>
  <c r="F43" i="42" l="1"/>
  <c r="F44" i="42" l="1"/>
  <c r="F93" i="42" l="1"/>
  <c r="F106" i="42" s="1"/>
  <c r="F107" i="42" l="1"/>
  <c r="F108" i="42" s="1"/>
  <c r="F110" i="42" l="1"/>
  <c r="F109" i="42"/>
</calcChain>
</file>

<file path=xl/sharedStrings.xml><?xml version="1.0" encoding="utf-8"?>
<sst xmlns="http://schemas.openxmlformats.org/spreadsheetml/2006/main" count="270" uniqueCount="207">
  <si>
    <t>U</t>
  </si>
  <si>
    <t>m3</t>
  </si>
  <si>
    <t>kg</t>
  </si>
  <si>
    <t>ml</t>
  </si>
  <si>
    <t xml:space="preserve"> </t>
  </si>
  <si>
    <t>m2</t>
  </si>
  <si>
    <t>Constat d'huissier</t>
  </si>
  <si>
    <t>Siphons de sol</t>
  </si>
  <si>
    <t>FONDATIONS</t>
  </si>
  <si>
    <t>SUPERSTRUCTURE</t>
  </si>
  <si>
    <t>Désignation</t>
  </si>
  <si>
    <t>Semelles filantes</t>
  </si>
  <si>
    <t>Enlèvement des terres excédentaires des terres excédentaire en ISDI</t>
  </si>
  <si>
    <t>inclus</t>
  </si>
  <si>
    <t>D.P.G.F LOT 02 INSTALLATION - GROS OEUVRE - FONDATION</t>
  </si>
  <si>
    <t>Code</t>
  </si>
  <si>
    <t>02.2.1</t>
  </si>
  <si>
    <t>INSTALLATION DE CHANTIER / FRAIS DE CHANTIER / DOCUMENTS TECHNIQUES</t>
  </si>
  <si>
    <t>02.2.1.1</t>
  </si>
  <si>
    <t>Installation de chantier commune à tous les lots</t>
  </si>
  <si>
    <t>02.2.1.1.1</t>
  </si>
  <si>
    <t>Démarches administratives</t>
  </si>
  <si>
    <t>Forfait</t>
  </si>
  <si>
    <t>02.2.1.1.2</t>
  </si>
  <si>
    <t>Implantation bâtiment par un géomètre</t>
  </si>
  <si>
    <t>02.2.1.1.3</t>
  </si>
  <si>
    <t>02.2.1.1.4</t>
  </si>
  <si>
    <t>Panneau de chantier réglementaire</t>
  </si>
  <si>
    <t>02.2.1.1.5</t>
  </si>
  <si>
    <t>Signalétique</t>
  </si>
  <si>
    <t>02.2.1.1.6</t>
  </si>
  <si>
    <t xml:space="preserve">Clôtures préfabriquées métalliques avec grillage type HERAS </t>
  </si>
  <si>
    <t>02.2.1.1.7</t>
  </si>
  <si>
    <t>Alimentations base de vie</t>
  </si>
  <si>
    <t>02.2.1.1.8</t>
  </si>
  <si>
    <t>Cantonnement / alimentations / consommations complètes</t>
  </si>
  <si>
    <t>02.2.1.1.9</t>
  </si>
  <si>
    <t xml:space="preserve">Bennes à gravats </t>
  </si>
  <si>
    <t>02.2.1.1.10</t>
  </si>
  <si>
    <t>Trait de niveau</t>
  </si>
  <si>
    <t>P-M</t>
  </si>
  <si>
    <t>02.2.1.2</t>
  </si>
  <si>
    <t>Installation de chantier propre au lot</t>
  </si>
  <si>
    <t>02.2.1.2.1</t>
  </si>
  <si>
    <t>Reconnaissance des lieux</t>
  </si>
  <si>
    <t>02.2.1.2.2</t>
  </si>
  <si>
    <t>Échafaudage</t>
  </si>
  <si>
    <t>02.2.1.2.3</t>
  </si>
  <si>
    <t>Bâches</t>
  </si>
  <si>
    <t>02.2.1.2.4</t>
  </si>
  <si>
    <t>Protections individuelles et collectives</t>
  </si>
  <si>
    <t>02.2.1.2.5</t>
  </si>
  <si>
    <t>Moyens d'intervention et de levage</t>
  </si>
  <si>
    <t>02.2.1.3</t>
  </si>
  <si>
    <t>Frais de chantier</t>
  </si>
  <si>
    <t>02.2.1.3.1</t>
  </si>
  <si>
    <t>Gestion des dépenses communes de chantier gérée par le compte prorata - 2%</t>
  </si>
  <si>
    <t>02.2.1.3.2</t>
  </si>
  <si>
    <t>Propreté et nettoyage de chantier</t>
  </si>
  <si>
    <t>02.2.1.4</t>
  </si>
  <si>
    <t>Documents et pièces graphiques</t>
  </si>
  <si>
    <t>02.2.1.4.1</t>
  </si>
  <si>
    <t>Etude d'exécution (EXE) / Notes de calcul / Plans de chantier (PAC)</t>
  </si>
  <si>
    <t>02.2.1.4.2</t>
  </si>
  <si>
    <t>DOE</t>
  </si>
  <si>
    <t>02.2.1.4.3</t>
  </si>
  <si>
    <t>DIUO</t>
  </si>
  <si>
    <t>02.2.2</t>
  </si>
  <si>
    <t>PLATE-FORME BÂTIMENT</t>
  </si>
  <si>
    <t>02.2.2.1</t>
  </si>
  <si>
    <t>Plate-forme bâtiment</t>
  </si>
  <si>
    <t>02.2.2.1.1</t>
  </si>
  <si>
    <t>Remblais en pourtour d'ouvrage</t>
  </si>
  <si>
    <t>02.2.3</t>
  </si>
  <si>
    <t>TERRASSEMENT FONDATIONS</t>
  </si>
  <si>
    <t>02.2.3.1</t>
  </si>
  <si>
    <t>Fouilles en puits</t>
  </si>
  <si>
    <t>02.2.3.1.1</t>
  </si>
  <si>
    <t>Terrassement pour massif isolé</t>
  </si>
  <si>
    <t>02.2.3.2</t>
  </si>
  <si>
    <t>Fouilles en rigoles</t>
  </si>
  <si>
    <t>02.2.3.2.1</t>
  </si>
  <si>
    <t>Terrassement complémentaire pour longrines</t>
  </si>
  <si>
    <t>02.2.3.2.2</t>
  </si>
  <si>
    <t>Terrassement complémentaire pour semelle filantes</t>
  </si>
  <si>
    <t>02.2.4</t>
  </si>
  <si>
    <t>02.2.4.1</t>
  </si>
  <si>
    <t>02.2.4.1.1</t>
  </si>
  <si>
    <t>Gros béton : jusqu'au bon sol</t>
  </si>
  <si>
    <t>02.2.4.1.2</t>
  </si>
  <si>
    <t>Béton classe de résistance normalisée</t>
  </si>
  <si>
    <t>02.2.4.1.3</t>
  </si>
  <si>
    <t>Armatures de ferraillage 50kg/m³</t>
  </si>
  <si>
    <t>kgs</t>
  </si>
  <si>
    <t>02.2.4.2</t>
  </si>
  <si>
    <t>Massifs isolés</t>
  </si>
  <si>
    <t>02.2.4.2.1</t>
  </si>
  <si>
    <t>Gros béton : Jusqu'au bon sol</t>
  </si>
  <si>
    <t>02.2.4.2.2</t>
  </si>
  <si>
    <t>02.2.4.2.3</t>
  </si>
  <si>
    <t>02.2.4.3</t>
  </si>
  <si>
    <t>Fûts</t>
  </si>
  <si>
    <t>02.2.4.3.1</t>
  </si>
  <si>
    <t>02.2.4.3.2</t>
  </si>
  <si>
    <t>Coffrage bois classe C ou S sur chaque face</t>
  </si>
  <si>
    <t>02.2.4.3.3</t>
  </si>
  <si>
    <t>Armatures de ferraillage 120kg/m³</t>
  </si>
  <si>
    <t>02.2.4.4</t>
  </si>
  <si>
    <t>Longrines</t>
  </si>
  <si>
    <t>02.2.4.4.1</t>
  </si>
  <si>
    <t>Béton de propreté : 5 cm d'épaisseur</t>
  </si>
  <si>
    <t>02.2.4.4.2</t>
  </si>
  <si>
    <t>02.2.4.4.3</t>
  </si>
  <si>
    <t>02.2.4.4.4</t>
  </si>
  <si>
    <t>02.2.4.5</t>
  </si>
  <si>
    <t>Pose de platine de prescellement</t>
  </si>
  <si>
    <t>02.2.4.5.1</t>
  </si>
  <si>
    <t>Pose dans fût béton</t>
  </si>
  <si>
    <t>02.2.5</t>
  </si>
  <si>
    <t>PLANCHERS</t>
  </si>
  <si>
    <t>02.2.5.1</t>
  </si>
  <si>
    <t>Barrière physico-chimique</t>
  </si>
  <si>
    <t>02.2.5.1.1</t>
  </si>
  <si>
    <t>Traitement périphérique</t>
  </si>
  <si>
    <t>02.2.5.1.2</t>
  </si>
  <si>
    <t>Traitement des pénétrations</t>
  </si>
  <si>
    <t>02.2.5.2</t>
  </si>
  <si>
    <t>Tranchées / Canalisations / fourreaux sous plancher</t>
  </si>
  <si>
    <t>02.2.5.2.1</t>
  </si>
  <si>
    <t>Tranchées + canalisations PVC  : Ø 100</t>
  </si>
  <si>
    <t>02.2.5.2.2</t>
  </si>
  <si>
    <t>Tranchées + canalisations PVC haute température : Ø 100</t>
  </si>
  <si>
    <t>02.2.5.2.3</t>
  </si>
  <si>
    <t>Tranchées + 1 fourreau aiguillé P.V.C. Ø 160 pour adduction EDF</t>
  </si>
  <si>
    <t>02.2.5.2.4</t>
  </si>
  <si>
    <t>Tranchées + 3 fourreaux P.V.C. rigides 42/45 aiguillés rigides pour adduction TELECOM</t>
  </si>
  <si>
    <t>02.2.5.2.5</t>
  </si>
  <si>
    <t>Tranchées + 1 fourreau aiguillé P.V.C. Ø 90 pour adduction AEP</t>
  </si>
  <si>
    <t>02.2.5.3</t>
  </si>
  <si>
    <t>Plancher type plancher hourdis isolant</t>
  </si>
  <si>
    <t>02.2.5.3.1</t>
  </si>
  <si>
    <t>Plancher hourdis avec entrevous isolants de type 13+8 pour un R=5.55 minimum</t>
  </si>
  <si>
    <t>02.2.5.3.2</t>
  </si>
  <si>
    <t>Rupteurs thermiques de rive</t>
  </si>
  <si>
    <t>02.2.5.3.3</t>
  </si>
  <si>
    <t>Socle support PAC</t>
  </si>
  <si>
    <t>02.2.5.3.4</t>
  </si>
  <si>
    <t>Courette d'aération</t>
  </si>
  <si>
    <t>02.2.6</t>
  </si>
  <si>
    <t>RESEAUX DIVERS</t>
  </si>
  <si>
    <t>02.2.6.1</t>
  </si>
  <si>
    <t>02.2.6.1.1</t>
  </si>
  <si>
    <t>Dimensions : 20x20</t>
  </si>
  <si>
    <t>02.2.7</t>
  </si>
  <si>
    <t>02.2.7.1</t>
  </si>
  <si>
    <t>Relevés béton armé</t>
  </si>
  <si>
    <t>02.2.7.1.1</t>
  </si>
  <si>
    <t>02.2.7.1.2</t>
  </si>
  <si>
    <t>Coffrage bois classe S sur chaque face</t>
  </si>
  <si>
    <t>02.2.7.1.3</t>
  </si>
  <si>
    <t>Armatures de ferraillage 80kg/m³</t>
  </si>
  <si>
    <t>02.2.7.2</t>
  </si>
  <si>
    <t>Béton coulé dans poteaux métalliques</t>
  </si>
  <si>
    <t>02.2.7.2.1</t>
  </si>
  <si>
    <t>Pour les poteaux de charpente ø168.3</t>
  </si>
  <si>
    <t>02.2.7.3</t>
  </si>
  <si>
    <t>Poteaux béton armé</t>
  </si>
  <si>
    <t>02.2.7.3.1</t>
  </si>
  <si>
    <t>02.2.7.3.2</t>
  </si>
  <si>
    <t>02.2.7.3.3</t>
  </si>
  <si>
    <t>Armatures de ferraillage</t>
  </si>
  <si>
    <t>02.2.8</t>
  </si>
  <si>
    <t>MAÇONNERIE</t>
  </si>
  <si>
    <t>02.2.8.1</t>
  </si>
  <si>
    <t>Coupure de capillarité en départ maçonnerie</t>
  </si>
  <si>
    <t>02.2.8.1.1</t>
  </si>
  <si>
    <t>Pour maçonnerie de 15 ou 20 cm de large</t>
  </si>
  <si>
    <t>02.2.8.2</t>
  </si>
  <si>
    <t>Maçonnerie en élévation en aggloméré de ciment creux B40 y compris chainages, linteaux, raidisseurs, sommiers</t>
  </si>
  <si>
    <t>02.2.8.2.1</t>
  </si>
  <si>
    <t>Maçonnerie de 15cm de large</t>
  </si>
  <si>
    <t>02.2.8.2.2</t>
  </si>
  <si>
    <t>Maçonnerie de 20cm de large</t>
  </si>
  <si>
    <t>02.2.8.3</t>
  </si>
  <si>
    <t>Seuils de portes PMR</t>
  </si>
  <si>
    <t>02.2.8.3.1</t>
  </si>
  <si>
    <t>Dimensions : selon pièces graphiques architecte</t>
  </si>
  <si>
    <t>02.2.8.4</t>
  </si>
  <si>
    <t>Enduits intérieurs</t>
  </si>
  <si>
    <t>02.2.8.4.1</t>
  </si>
  <si>
    <t>Enduits intérieurs ciment</t>
  </si>
  <si>
    <t/>
  </si>
  <si>
    <t>Montant TTC</t>
  </si>
  <si>
    <t>11 rue des écoles - 91520 EGLY</t>
  </si>
  <si>
    <t>Etude N°5253</t>
  </si>
  <si>
    <t>4 Grande Rue</t>
  </si>
  <si>
    <t>MAIRIE D'EGLY</t>
  </si>
  <si>
    <t>91520 EGLY</t>
  </si>
  <si>
    <t>Quantité</t>
  </si>
  <si>
    <t>Unité</t>
  </si>
  <si>
    <t>P. unitaire</t>
  </si>
  <si>
    <t>P. total</t>
  </si>
  <si>
    <t>TVA 20%</t>
  </si>
  <si>
    <t>Prorata 2% pour frais de chantier</t>
  </si>
  <si>
    <t>Montant Total HT</t>
  </si>
  <si>
    <t>Montant Total HT compris prorata 2%</t>
  </si>
  <si>
    <t>Construction d’un espace de restauration – Groupe scolaire Alphonse Daudet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</si>
</sst>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65" formatCode="#,##0.00[$€]_);[Red]\(#,##0.00[$€]\)"/>
    <numFmt numFmtId="166" formatCode="#,##0\ ;[Red]\-#,##0\ "/>
    <numFmt numFmtId="168" formatCode="###,###,###,##0.00\ \€;\-###,###,###,##0.00\ \€;"/>
  </numFmts>
  <fonts count="34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12"/>
      <name val="Arial MT"/>
    </font>
    <font>
      <sz val="10"/>
      <name val="Times New Roman"/>
      <family val="1"/>
    </font>
    <font>
      <sz val="12"/>
      <name val="Helv"/>
    </font>
    <font>
      <sz val="14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8"/>
      <color indexed="17"/>
      <name val="Arial"/>
      <family val="2"/>
    </font>
    <font>
      <i/>
      <sz val="10"/>
      <color indexed="8"/>
      <name val="Arial"/>
      <family val="2"/>
    </font>
    <font>
      <b/>
      <sz val="14"/>
      <color indexed="12"/>
      <name val="Arial"/>
      <family val="2"/>
    </font>
    <font>
      <sz val="8.25"/>
      <name val="Tahoma"/>
      <family val="2"/>
      <charset val="1"/>
    </font>
    <font>
      <sz val="11"/>
      <name val="Arial"/>
      <family val="2"/>
    </font>
    <font>
      <sz val="11"/>
      <name val="Arial Narrow"/>
      <family val="2"/>
    </font>
    <font>
      <sz val="11"/>
      <color rgb="FF000000"/>
      <name val="Calibri"/>
      <scheme val="minor"/>
    </font>
    <font>
      <sz val="11"/>
      <color rgb="FF000000"/>
      <name val="Calibri"/>
      <family val="2"/>
      <scheme val="minor"/>
    </font>
    <font>
      <b/>
      <sz val="11"/>
      <color rgb="FF02247D"/>
      <name val="Arial"/>
      <family val="2"/>
    </font>
    <font>
      <sz val="8"/>
      <color rgb="FF02247D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u/>
      <sz val="9"/>
      <color rgb="FF000000"/>
      <name val="Arial"/>
      <family val="2"/>
    </font>
    <font>
      <sz val="5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sz val="10"/>
      <name val="Arial"/>
    </font>
    <font>
      <b/>
      <sz val="12"/>
      <color theme="1"/>
      <name val="Arial"/>
      <family val="2"/>
    </font>
    <font>
      <sz val="12"/>
      <name val="Arial"/>
      <family val="2"/>
    </font>
    <font>
      <sz val="12"/>
      <color rgb="FFFF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u/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gray125">
        <fgColor indexed="15"/>
      </patternFill>
    </fill>
    <fill>
      <patternFill patternType="solid">
        <fgColor indexed="9"/>
      </patternFill>
    </fill>
    <fill>
      <patternFill patternType="solid">
        <fgColor rgb="FFFFFFFE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2">
    <xf numFmtId="0" fontId="0" fillId="0" borderId="0"/>
    <xf numFmtId="0" fontId="4" fillId="2" borderId="0">
      <alignment horizontal="right"/>
    </xf>
    <xf numFmtId="3" fontId="3" fillId="0" borderId="1" applyFont="0" applyFill="0" applyAlignment="0">
      <alignment horizontal="right" vertical="center"/>
    </xf>
    <xf numFmtId="165" fontId="5" fillId="0" borderId="0" applyFont="0" applyFill="0" applyBorder="0" applyAlignment="0" applyProtection="0"/>
    <xf numFmtId="166" fontId="6" fillId="0" borderId="2" applyFont="0" applyFill="0" applyBorder="0" applyAlignment="0" applyProtection="0">
      <protection locked="0"/>
    </xf>
    <xf numFmtId="0" fontId="7" fillId="0" borderId="0"/>
    <xf numFmtId="0" fontId="11" fillId="3" borderId="0">
      <alignment horizontal="left" vertical="top" wrapText="1"/>
    </xf>
    <xf numFmtId="0" fontId="12" fillId="3" borderId="0">
      <alignment horizontal="left" vertical="top" wrapText="1"/>
    </xf>
    <xf numFmtId="0" fontId="10" fillId="3" borderId="0">
      <alignment horizontal="left" vertical="top" wrapText="1"/>
    </xf>
    <xf numFmtId="49" fontId="9" fillId="3" borderId="0">
      <alignment horizontal="left" vertical="top" wrapText="1"/>
    </xf>
    <xf numFmtId="49" fontId="13" fillId="3" borderId="3">
      <alignment horizontal="left" vertical="top" wrapText="1"/>
    </xf>
    <xf numFmtId="0" fontId="11" fillId="3" borderId="0">
      <alignment horizontal="left" vertical="top" wrapText="1"/>
    </xf>
    <xf numFmtId="0" fontId="10" fillId="3" borderId="0">
      <alignment horizontal="left" vertical="top" wrapText="1"/>
    </xf>
    <xf numFmtId="49" fontId="9" fillId="3" borderId="0">
      <alignment horizontal="left" vertical="top" wrapText="1"/>
    </xf>
    <xf numFmtId="0" fontId="1" fillId="0" borderId="0"/>
    <xf numFmtId="3" fontId="2" fillId="0" borderId="1" applyFont="0" applyFill="0" applyAlignment="0">
      <alignment horizontal="right" vertical="center"/>
    </xf>
    <xf numFmtId="166" fontId="6" fillId="0" borderId="4" applyFont="0" applyFill="0" applyBorder="0" applyAlignment="0" applyProtection="0">
      <protection locked="0"/>
    </xf>
    <xf numFmtId="49" fontId="13" fillId="3" borderId="5">
      <alignment horizontal="left" vertical="top" wrapText="1"/>
    </xf>
    <xf numFmtId="0" fontId="2" fillId="0" borderId="0"/>
    <xf numFmtId="0" fontId="14" fillId="0" borderId="0">
      <alignment vertical="top"/>
      <protection locked="0"/>
    </xf>
    <xf numFmtId="0" fontId="15" fillId="0" borderId="0">
      <alignment vertical="center"/>
    </xf>
    <xf numFmtId="0" fontId="17" fillId="0" borderId="0">
      <alignment vertical="top"/>
    </xf>
    <xf numFmtId="0" fontId="21" fillId="0" borderId="0">
      <alignment horizontal="center" vertical="center" wrapText="1"/>
    </xf>
    <xf numFmtId="0" fontId="22" fillId="0" borderId="0">
      <alignment horizontal="left" vertical="center" wrapText="1"/>
    </xf>
    <xf numFmtId="43" fontId="17" fillId="0" borderId="0" applyFont="0" applyFill="0" applyBorder="0" applyAlignment="0" applyProtection="0"/>
    <xf numFmtId="0" fontId="23" fillId="0" borderId="0">
      <alignment horizontal="left" vertical="center" wrapText="1"/>
    </xf>
    <xf numFmtId="0" fontId="21" fillId="0" borderId="0">
      <alignment horizontal="left" vertical="center" wrapText="1"/>
    </xf>
    <xf numFmtId="0" fontId="24" fillId="0" borderId="0">
      <alignment horizontal="center" vertical="center" wrapText="1"/>
    </xf>
    <xf numFmtId="0" fontId="25" fillId="0" borderId="0">
      <alignment horizontal="center" vertical="center"/>
    </xf>
    <xf numFmtId="0" fontId="26" fillId="0" borderId="0">
      <alignment horizontal="left" vertical="center" wrapText="1"/>
    </xf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</cellStyleXfs>
  <cellXfs count="67">
    <xf numFmtId="0" fontId="0" fillId="0" borderId="0" xfId="0"/>
    <xf numFmtId="0" fontId="15" fillId="0" borderId="0" xfId="20" applyProtection="1">
      <alignment vertical="center"/>
      <protection locked="0"/>
    </xf>
    <xf numFmtId="0" fontId="18" fillId="0" borderId="0" xfId="21" applyFont="1" applyAlignment="1">
      <alignment vertical="center"/>
    </xf>
    <xf numFmtId="0" fontId="21" fillId="0" borderId="0" xfId="22" applyProtection="1">
      <alignment horizontal="center" vertical="center" wrapText="1"/>
      <protection locked="0"/>
    </xf>
    <xf numFmtId="0" fontId="15" fillId="0" borderId="0" xfId="20" applyAlignment="1" applyProtection="1">
      <alignment horizontal="center" vertical="center"/>
      <protection locked="0"/>
    </xf>
    <xf numFmtId="0" fontId="29" fillId="0" borderId="0" xfId="20" applyFont="1" applyProtection="1">
      <alignment vertical="center"/>
      <protection locked="0"/>
    </xf>
    <xf numFmtId="0" fontId="31" fillId="0" borderId="0" xfId="28" applyFont="1" applyProtection="1">
      <alignment horizontal="center" vertical="center"/>
      <protection locked="0"/>
    </xf>
    <xf numFmtId="44" fontId="29" fillId="0" borderId="0" xfId="31" applyFont="1" applyAlignment="1" applyProtection="1">
      <alignment vertical="center"/>
      <protection locked="0"/>
    </xf>
    <xf numFmtId="0" fontId="31" fillId="0" borderId="6" xfId="22" applyFont="1" applyBorder="1" applyProtection="1">
      <alignment horizontal="center" vertical="center" wrapText="1"/>
      <protection locked="0"/>
    </xf>
    <xf numFmtId="0" fontId="33" fillId="0" borderId="6" xfId="25" applyFont="1" applyBorder="1" applyProtection="1">
      <alignment horizontal="left" vertical="center" wrapText="1"/>
      <protection locked="0"/>
    </xf>
    <xf numFmtId="0" fontId="31" fillId="0" borderId="6" xfId="21" applyFont="1" applyBorder="1" applyAlignment="1" applyProtection="1">
      <alignment horizontal="left" vertical="center" wrapText="1"/>
      <protection locked="0"/>
    </xf>
    <xf numFmtId="0" fontId="29" fillId="0" borderId="6" xfId="20" applyFont="1" applyBorder="1" applyProtection="1">
      <alignment vertical="center"/>
      <protection locked="0"/>
    </xf>
    <xf numFmtId="0" fontId="31" fillId="0" borderId="6" xfId="26" applyFont="1" applyBorder="1" applyProtection="1">
      <alignment horizontal="left" vertical="center" wrapText="1"/>
      <protection locked="0"/>
    </xf>
    <xf numFmtId="0" fontId="32" fillId="0" borderId="6" xfId="21" applyFont="1" applyBorder="1" applyAlignment="1" applyProtection="1">
      <alignment horizontal="left" vertical="center" wrapText="1"/>
      <protection locked="0"/>
    </xf>
    <xf numFmtId="0" fontId="32" fillId="0" borderId="6" xfId="21" applyFont="1" applyBorder="1" applyAlignment="1" applyProtection="1">
      <alignment horizontal="center" vertical="center" wrapText="1"/>
      <protection locked="0"/>
    </xf>
    <xf numFmtId="168" fontId="32" fillId="0" borderId="6" xfId="21" applyNumberFormat="1" applyFont="1" applyBorder="1" applyAlignment="1" applyProtection="1">
      <alignment horizontal="right" vertical="center" wrapText="1"/>
      <protection locked="0"/>
    </xf>
    <xf numFmtId="44" fontId="32" fillId="0" borderId="6" xfId="31" applyFont="1" applyBorder="1" applyAlignment="1" applyProtection="1">
      <alignment horizontal="right" vertical="center"/>
      <protection locked="0"/>
    </xf>
    <xf numFmtId="0" fontId="29" fillId="0" borderId="6" xfId="20" applyFont="1" applyBorder="1" applyAlignment="1" applyProtection="1">
      <alignment horizontal="center" vertical="center"/>
      <protection locked="0"/>
    </xf>
    <xf numFmtId="0" fontId="33" fillId="0" borderId="7" xfId="21" applyFont="1" applyBorder="1" applyAlignment="1" applyProtection="1">
      <alignment horizontal="left" vertical="center" wrapText="1"/>
      <protection locked="0"/>
    </xf>
    <xf numFmtId="0" fontId="33" fillId="0" borderId="8" xfId="21" applyFont="1" applyBorder="1" applyAlignment="1" applyProtection="1">
      <alignment horizontal="left" vertical="center" wrapText="1"/>
      <protection locked="0"/>
    </xf>
    <xf numFmtId="0" fontId="33" fillId="0" borderId="9" xfId="21" applyFont="1" applyBorder="1" applyAlignment="1" applyProtection="1">
      <alignment horizontal="left" vertical="center" wrapText="1"/>
      <protection locked="0"/>
    </xf>
    <xf numFmtId="0" fontId="31" fillId="0" borderId="7" xfId="21" applyFont="1" applyBorder="1" applyAlignment="1" applyProtection="1">
      <alignment horizontal="left" vertical="center" wrapText="1"/>
      <protection locked="0"/>
    </xf>
    <xf numFmtId="0" fontId="31" fillId="0" borderId="8" xfId="21" applyFont="1" applyBorder="1" applyAlignment="1" applyProtection="1">
      <alignment horizontal="left" vertical="center" wrapText="1"/>
      <protection locked="0"/>
    </xf>
    <xf numFmtId="0" fontId="31" fillId="0" borderId="9" xfId="21" applyFont="1" applyBorder="1" applyAlignment="1" applyProtection="1">
      <alignment horizontal="left" vertical="center" wrapText="1"/>
      <protection locked="0"/>
    </xf>
    <xf numFmtId="0" fontId="33" fillId="0" borderId="6" xfId="25" applyFont="1" applyBorder="1" applyAlignment="1" applyProtection="1">
      <alignment horizontal="left" vertical="center" wrapText="1"/>
      <protection locked="0"/>
    </xf>
    <xf numFmtId="0" fontId="15" fillId="0" borderId="10" xfId="20" applyBorder="1" applyProtection="1">
      <alignment vertical="center"/>
      <protection locked="0"/>
    </xf>
    <xf numFmtId="0" fontId="15" fillId="0" borderId="11" xfId="20" applyBorder="1" applyAlignment="1" applyProtection="1">
      <alignment horizontal="left" vertical="center"/>
      <protection locked="0"/>
    </xf>
    <xf numFmtId="0" fontId="19" fillId="0" borderId="13" xfId="20" applyFont="1" applyBorder="1" applyAlignment="1" applyProtection="1">
      <alignment horizontal="left" vertical="top"/>
      <protection locked="0"/>
    </xf>
    <xf numFmtId="0" fontId="8" fillId="0" borderId="0" xfId="20" applyFont="1" applyBorder="1" applyAlignment="1" applyProtection="1">
      <alignment horizontal="left" vertical="center"/>
      <protection locked="0"/>
    </xf>
    <xf numFmtId="0" fontId="15" fillId="0" borderId="0" xfId="20" applyBorder="1" applyAlignment="1" applyProtection="1">
      <alignment horizontal="left" vertical="center"/>
      <protection locked="0"/>
    </xf>
    <xf numFmtId="0" fontId="15" fillId="0" borderId="0" xfId="20" applyBorder="1" applyAlignment="1" applyProtection="1">
      <alignment horizontal="right" vertical="center"/>
      <protection locked="0"/>
    </xf>
    <xf numFmtId="0" fontId="15" fillId="0" borderId="14" xfId="20" applyBorder="1" applyAlignment="1" applyProtection="1">
      <alignment horizontal="right" vertical="center"/>
      <protection locked="0"/>
    </xf>
    <xf numFmtId="0" fontId="20" fillId="0" borderId="13" xfId="20" applyFont="1" applyBorder="1" applyAlignment="1" applyProtection="1">
      <alignment horizontal="left" vertical="center"/>
      <protection locked="0"/>
    </xf>
    <xf numFmtId="0" fontId="30" fillId="0" borderId="13" xfId="20" applyFont="1" applyBorder="1" applyAlignment="1" applyProtection="1">
      <alignment horizontal="left" vertical="center"/>
      <protection locked="0"/>
    </xf>
    <xf numFmtId="0" fontId="15" fillId="0" borderId="0" xfId="20" applyBorder="1" applyProtection="1">
      <alignment vertical="center"/>
      <protection locked="0"/>
    </xf>
    <xf numFmtId="0" fontId="16" fillId="0" borderId="14" xfId="20" applyFont="1" applyBorder="1" applyProtection="1">
      <alignment vertical="center"/>
      <protection locked="0"/>
    </xf>
    <xf numFmtId="0" fontId="29" fillId="0" borderId="13" xfId="20" applyFont="1" applyBorder="1" applyAlignment="1" applyProtection="1">
      <alignment horizontal="center" vertical="center"/>
      <protection locked="0"/>
    </xf>
    <xf numFmtId="0" fontId="29" fillId="0" borderId="0" xfId="20" applyFont="1" applyBorder="1" applyAlignment="1" applyProtection="1">
      <alignment horizontal="center" vertical="center"/>
      <protection locked="0"/>
    </xf>
    <xf numFmtId="0" fontId="29" fillId="0" borderId="14" xfId="20" applyFont="1" applyBorder="1" applyAlignment="1" applyProtection="1">
      <alignment horizontal="center" vertical="center"/>
      <protection locked="0"/>
    </xf>
    <xf numFmtId="0" fontId="28" fillId="0" borderId="15" xfId="20" applyFont="1" applyFill="1" applyBorder="1" applyAlignment="1" applyProtection="1">
      <alignment horizontal="center" vertical="center"/>
      <protection locked="0"/>
    </xf>
    <xf numFmtId="0" fontId="28" fillId="0" borderId="16" xfId="20" applyFont="1" applyFill="1" applyBorder="1" applyAlignment="1" applyProtection="1">
      <alignment horizontal="center" vertical="center"/>
      <protection locked="0"/>
    </xf>
    <xf numFmtId="0" fontId="28" fillId="0" borderId="17" xfId="20" applyFont="1" applyFill="1" applyBorder="1" applyAlignment="1" applyProtection="1">
      <alignment horizontal="center" vertical="center"/>
      <protection locked="0"/>
    </xf>
    <xf numFmtId="0" fontId="15" fillId="0" borderId="0" xfId="20" applyBorder="1" applyAlignment="1" applyProtection="1">
      <alignment horizontal="center" vertical="center"/>
      <protection locked="0"/>
    </xf>
    <xf numFmtId="2" fontId="29" fillId="0" borderId="6" xfId="20" applyNumberFormat="1" applyFont="1" applyBorder="1" applyAlignment="1" applyProtection="1">
      <alignment horizontal="center" vertical="center"/>
      <protection locked="0"/>
    </xf>
    <xf numFmtId="0" fontId="15" fillId="0" borderId="11" xfId="20" applyBorder="1" applyAlignment="1" applyProtection="1">
      <alignment horizontal="center" vertical="center"/>
      <protection locked="0"/>
    </xf>
    <xf numFmtId="0" fontId="8" fillId="0" borderId="0" xfId="20" applyFont="1" applyBorder="1" applyAlignment="1" applyProtection="1">
      <alignment horizontal="center" vertical="center"/>
      <protection locked="0"/>
    </xf>
    <xf numFmtId="0" fontId="31" fillId="0" borderId="6" xfId="22" applyFont="1" applyBorder="1" applyAlignment="1" applyProtection="1">
      <alignment horizontal="center" vertical="center" wrapText="1"/>
      <protection locked="0"/>
    </xf>
    <xf numFmtId="0" fontId="29" fillId="0" borderId="0" xfId="20" applyFont="1" applyAlignment="1" applyProtection="1">
      <alignment horizontal="center" vertical="center"/>
      <protection locked="0"/>
    </xf>
    <xf numFmtId="0" fontId="18" fillId="0" borderId="0" xfId="21" applyFont="1" applyAlignment="1">
      <alignment horizontal="center" vertical="center"/>
    </xf>
    <xf numFmtId="43" fontId="29" fillId="0" borderId="6" xfId="30" applyNumberFormat="1" applyFont="1" applyBorder="1" applyAlignment="1" applyProtection="1">
      <alignment horizontal="center" vertical="center"/>
      <protection locked="0"/>
    </xf>
    <xf numFmtId="0" fontId="29" fillId="0" borderId="0" xfId="20" applyFont="1" applyBorder="1" applyProtection="1">
      <alignment vertical="center"/>
      <protection locked="0"/>
    </xf>
    <xf numFmtId="0" fontId="29" fillId="0" borderId="0" xfId="20" applyFont="1" applyBorder="1" applyAlignment="1" applyProtection="1">
      <alignment horizontal="center" vertical="center"/>
      <protection locked="0"/>
    </xf>
    <xf numFmtId="0" fontId="31" fillId="0" borderId="0" xfId="21" applyFont="1" applyBorder="1" applyAlignment="1" applyProtection="1">
      <alignment horizontal="left" vertical="center" wrapText="1"/>
      <protection locked="0"/>
    </xf>
    <xf numFmtId="0" fontId="29" fillId="0" borderId="10" xfId="20" applyFont="1" applyBorder="1" applyProtection="1">
      <alignment vertical="center"/>
      <protection locked="0"/>
    </xf>
    <xf numFmtId="0" fontId="31" fillId="0" borderId="11" xfId="29" applyFont="1" applyBorder="1" applyProtection="1">
      <alignment horizontal="left" vertical="center" wrapText="1"/>
      <protection locked="0"/>
    </xf>
    <xf numFmtId="0" fontId="29" fillId="0" borderId="11" xfId="20" applyFont="1" applyBorder="1" applyAlignment="1" applyProtection="1">
      <alignment horizontal="center" vertical="center"/>
      <protection locked="0"/>
    </xf>
    <xf numFmtId="0" fontId="29" fillId="0" borderId="11" xfId="20" applyFont="1" applyBorder="1" applyProtection="1">
      <alignment vertical="center"/>
      <protection locked="0"/>
    </xf>
    <xf numFmtId="0" fontId="29" fillId="0" borderId="13" xfId="20" applyFont="1" applyBorder="1" applyProtection="1">
      <alignment vertical="center"/>
      <protection locked="0"/>
    </xf>
    <xf numFmtId="44" fontId="32" fillId="0" borderId="14" xfId="31" applyFont="1" applyBorder="1" applyAlignment="1" applyProtection="1">
      <alignment horizontal="right" vertical="center"/>
      <protection locked="0"/>
    </xf>
    <xf numFmtId="0" fontId="29" fillId="0" borderId="15" xfId="20" applyFont="1" applyBorder="1" applyProtection="1">
      <alignment vertical="center"/>
      <protection locked="0"/>
    </xf>
    <xf numFmtId="0" fontId="31" fillId="0" borderId="16" xfId="21" applyFont="1" applyBorder="1" applyAlignment="1" applyProtection="1">
      <alignment horizontal="left" vertical="center" wrapText="1"/>
      <protection locked="0"/>
    </xf>
    <xf numFmtId="0" fontId="29" fillId="0" borderId="16" xfId="20" applyFont="1" applyBorder="1" applyAlignment="1" applyProtection="1">
      <alignment horizontal="center" vertical="center"/>
      <protection locked="0"/>
    </xf>
    <xf numFmtId="0" fontId="29" fillId="0" borderId="16" xfId="20" applyFont="1" applyBorder="1" applyProtection="1">
      <alignment vertical="center"/>
      <protection locked="0"/>
    </xf>
    <xf numFmtId="44" fontId="32" fillId="4" borderId="17" xfId="31" applyFont="1" applyFill="1" applyBorder="1" applyAlignment="1" applyProtection="1">
      <alignment horizontal="right" vertical="center"/>
      <protection locked="0"/>
    </xf>
    <xf numFmtId="44" fontId="31" fillId="4" borderId="12" xfId="31" applyFont="1" applyFill="1" applyBorder="1" applyAlignment="1" applyProtection="1">
      <alignment horizontal="right" vertical="center"/>
      <protection locked="0"/>
    </xf>
    <xf numFmtId="0" fontId="18" fillId="0" borderId="11" xfId="21" applyFont="1" applyBorder="1" applyAlignment="1">
      <alignment vertical="center"/>
    </xf>
    <xf numFmtId="0" fontId="18" fillId="0" borderId="12" xfId="21" applyFont="1" applyBorder="1" applyAlignment="1">
      <alignment vertical="center"/>
    </xf>
  </cellXfs>
  <cellStyles count="32">
    <cellStyle name="5" xfId="1" xr:uid="{00000000-0005-0000-0000-000000000000}"/>
    <cellStyle name="ArtNote5" xfId="6" xr:uid="{00000000-0005-0000-0000-000001000000}"/>
    <cellStyle name="ArtNote5 2" xfId="11" xr:uid="{00000000-0005-0000-0000-000002000000}"/>
    <cellStyle name="ArtTitre" xfId="9" xr:uid="{00000000-0005-0000-0000-000003000000}"/>
    <cellStyle name="ArtTitre 2" xfId="13" xr:uid="{00000000-0005-0000-0000-000004000000}"/>
    <cellStyle name="BordCode" xfId="23" xr:uid="{3F30CDD0-3C7E-47AC-8CCB-E48C90F56B7F}"/>
    <cellStyle name="ChapNote1" xfId="7" xr:uid="{00000000-0005-0000-0000-000005000000}"/>
    <cellStyle name="ChapTitre2 2" xfId="10" xr:uid="{00000000-0005-0000-0000-000006000000}"/>
    <cellStyle name="ChapTitre2 2 2" xfId="17" xr:uid="{42C0443D-6661-4095-ACF1-CCA7FE70F589}"/>
    <cellStyle name="colonnes" xfId="2" xr:uid="{00000000-0005-0000-0000-000007000000}"/>
    <cellStyle name="colonnes 2" xfId="15" xr:uid="{5F72DB2D-485C-49C8-96E9-48F1ED1524FE}"/>
    <cellStyle name="default" xfId="20" xr:uid="{035B193B-3A06-42E1-89B9-6D24012E397A}"/>
    <cellStyle name="Entete" xfId="22" xr:uid="{7A549B0A-7234-4E5A-8B64-EA4D9494AEDE}"/>
    <cellStyle name="Euro" xfId="3" xr:uid="{00000000-0005-0000-0000-000008000000}"/>
    <cellStyle name="LignesTot11" xfId="29" xr:uid="{967A5AD8-19E3-43EA-8CB4-CC8645A9773C}"/>
    <cellStyle name="LignesTot2" xfId="28" xr:uid="{C94F1511-724B-4462-ACB6-2CACD3DF6DC1}"/>
    <cellStyle name="Milliers" xfId="30" builtinId="3"/>
    <cellStyle name="Milliers [0]+espace" xfId="4" xr:uid="{00000000-0005-0000-0000-000009000000}"/>
    <cellStyle name="Milliers [0]+espace 2" xfId="16" xr:uid="{4659C616-9EBC-4D81-82F4-A08CB111B0FD}"/>
    <cellStyle name="Milliers 2" xfId="24" xr:uid="{C8651A0B-200D-4442-A011-3B833285542E}"/>
    <cellStyle name="Monétaire" xfId="31" builtinId="4"/>
    <cellStyle name="Niv1Code" xfId="25" xr:uid="{14A46F26-28D1-4194-9357-1C3B07361988}"/>
    <cellStyle name="Niv2Code" xfId="26" xr:uid="{8A299107-D614-4CD3-BA45-7D0431A662C2}"/>
    <cellStyle name="Normal" xfId="0" builtinId="0"/>
    <cellStyle name="Normal - Style1" xfId="5" xr:uid="{00000000-0005-0000-0000-00000D000000}"/>
    <cellStyle name="Normal 2" xfId="14" xr:uid="{93A5804E-02C5-4402-848F-51AFEDAE3778}"/>
    <cellStyle name="Normal 2 2" xfId="18" xr:uid="{4C521047-8F2D-42B5-8F08-0C568147088C}"/>
    <cellStyle name="Normal 3" xfId="19" xr:uid="{D6D4D014-28E8-4565-846D-674C4EA70211}"/>
    <cellStyle name="Normal 4" xfId="21" xr:uid="{D1496DA2-68C9-4FFE-A5CE-D350497046E0}"/>
    <cellStyle name="Numerotation" xfId="8" xr:uid="{00000000-0005-0000-0000-000015000000}"/>
    <cellStyle name="Numerotation 2" xfId="12" xr:uid="{00000000-0005-0000-0000-000016000000}"/>
    <cellStyle name="TVA" xfId="27" xr:uid="{4E8CACA2-F05A-4C3C-90FA-3874AA9A6105}"/>
  </cellStyles>
  <dxfs count="0"/>
  <tableStyles count="0" defaultTableStyle="TableStyleMedium9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53341</xdr:rowOff>
    </xdr:from>
    <xdr:to>
      <xdr:col>1</xdr:col>
      <xdr:colOff>452005</xdr:colOff>
      <xdr:row>3</xdr:row>
      <xdr:rowOff>53341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CCD3A107-A5FF-85E2-C32B-57A47A176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53341"/>
          <a:ext cx="1194955" cy="571500"/>
        </a:xfrm>
        <a:prstGeom prst="rect">
          <a:avLst/>
        </a:prstGeom>
      </xdr:spPr>
    </xdr:pic>
    <xdr:clientData/>
  </xdr:twoCellAnchor>
  <xdr:twoCellAnchor editAs="oneCell">
    <xdr:from>
      <xdr:col>4</xdr:col>
      <xdr:colOff>104775</xdr:colOff>
      <xdr:row>0</xdr:row>
      <xdr:rowOff>38100</xdr:rowOff>
    </xdr:from>
    <xdr:to>
      <xdr:col>5</xdr:col>
      <xdr:colOff>57499</xdr:colOff>
      <xdr:row>4</xdr:row>
      <xdr:rowOff>104775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2334F60-FAE0-97DC-5DCC-9991590DA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86475" y="38100"/>
          <a:ext cx="895699" cy="8286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nnees/SOMEBAT/ETUDES/CLIENTS/CHANIN/CHENIL%20MOISSY/deb%2000%20comple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ico\mydocuments\Documents%20and%20Settings\minou\Mes%20documents\CBC\CBC\DQEcomissa%20st%20deni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es%20documents/ETUDE/Berthier/Berthi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CAP DEBOURS"/>
      <sheetName val="Frais de chantier"/>
      <sheetName val="RECAP"/>
      <sheetName val="GO"/>
      <sheetName val="LOT 2- Etanchéité"/>
      <sheetName val="LOT 3- Menuiseries métalliques"/>
      <sheetName val="LOT 04-Cloisons plâterie "/>
      <sheetName val="LOT 5- Menuiserie bois"/>
      <sheetName val="LOT 6 -Peinture  résine "/>
      <sheetName val="LOT 7-Carrelage - faience "/>
      <sheetName val="LOT 8 -PLOMBERIE -CHAUFFAGE -VM"/>
      <sheetName val="LOT 9 -ELECTRICITE"/>
      <sheetName val="LOT 10 -AMENAGEMENTS EXTERIEURE"/>
      <sheetName val="RECAP_DEBOURS"/>
      <sheetName val="Frais_de_chantier"/>
      <sheetName val="LOT_2-_Etanchéité"/>
      <sheetName val="LOT_3-_Menuiseries_métalliques"/>
      <sheetName val="LOT_04-Cloisons_plâterie_"/>
      <sheetName val="LOT_5-_Menuiserie_bois"/>
      <sheetName val="LOT_6_-Peinture__résine_"/>
      <sheetName val="LOT_7-Carrelage_-_faience_"/>
      <sheetName val="LOT_8_-PLOMBERIE_-CHAUFFAGE_-VM"/>
      <sheetName val="LOT_9_-ELECTRICITE"/>
      <sheetName val="LOT_10_-AMENAGEMENTS_EXTERIEURE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o"/>
      <sheetName val="2 Etan"/>
      <sheetName val="3 Me ext"/>
      <sheetName val="4 Me intér"/>
      <sheetName val="5 Meta"/>
      <sheetName val="6 Cloi"/>
      <sheetName val="7 F-pla"/>
      <sheetName val="8 Revêt"/>
      <sheetName val="9 Peinture"/>
      <sheetName val="10 ASCEN"/>
      <sheetName val="PLOM"/>
      <sheetName val="CVC"/>
      <sheetName val="VAR CVC"/>
      <sheetName val="ELEC"/>
      <sheetName val="2_Etan"/>
      <sheetName val="3_Me_ext"/>
      <sheetName val="4_Me_intér"/>
      <sheetName val="5_Meta"/>
      <sheetName val="6_Cloi"/>
      <sheetName val="7_F-pla"/>
      <sheetName val="8_Revêt"/>
      <sheetName val="9_Peinture"/>
      <sheetName val="10_ASCEN"/>
      <sheetName val="VAR_CVC"/>
      <sheetName val="CES1P"/>
      <sheetName val="lot 1 DESAMIANTAGE"/>
      <sheetName val="2_Etan1"/>
      <sheetName val="3_Me_ext1"/>
      <sheetName val="4_Me_intér1"/>
      <sheetName val="5_Meta1"/>
      <sheetName val="6_Cloi1"/>
      <sheetName val="7_F-pla1"/>
      <sheetName val="8_Revêt1"/>
      <sheetName val="9_Peinture1"/>
      <sheetName val="10_ASCEN1"/>
      <sheetName val="VAR_CVC1"/>
      <sheetName val="lot_1_DESAMIANTAGE1"/>
      <sheetName val="lot_1_DESAMIANTAGE"/>
      <sheetName val="2_Etan4"/>
      <sheetName val="3_Me_ext4"/>
      <sheetName val="4_Me_intér4"/>
      <sheetName val="5_Meta4"/>
      <sheetName val="6_Cloi4"/>
      <sheetName val="7_F-pla4"/>
      <sheetName val="8_Revêt4"/>
      <sheetName val="9_Peinture4"/>
      <sheetName val="10_ASCEN4"/>
      <sheetName val="VAR_CVC4"/>
      <sheetName val="lot_1_DESAMIANTAGE4"/>
      <sheetName val="2_Etan2"/>
      <sheetName val="3_Me_ext2"/>
      <sheetName val="4_Me_intér2"/>
      <sheetName val="5_Meta2"/>
      <sheetName val="6_Cloi2"/>
      <sheetName val="7_F-pla2"/>
      <sheetName val="8_Revêt2"/>
      <sheetName val="9_Peinture2"/>
      <sheetName val="10_ASCEN2"/>
      <sheetName val="VAR_CVC2"/>
      <sheetName val="lot_1_DESAMIANTAGE2"/>
      <sheetName val="2_Etan3"/>
      <sheetName val="3_Me_ext3"/>
      <sheetName val="4_Me_intér3"/>
      <sheetName val="5_Meta3"/>
      <sheetName val="6_Cloi3"/>
      <sheetName val="7_F-pla3"/>
      <sheetName val="8_Revêt3"/>
      <sheetName val="9_Peinture3"/>
      <sheetName val="10_ASCEN3"/>
      <sheetName val="VAR_CVC3"/>
      <sheetName val="lot_1_DESAMIANTAGE3"/>
      <sheetName val="2_Etan6"/>
      <sheetName val="3_Me_ext6"/>
      <sheetName val="4_Me_intér6"/>
      <sheetName val="5_Meta6"/>
      <sheetName val="6_Cloi6"/>
      <sheetName val="7_F-pla6"/>
      <sheetName val="8_Revêt6"/>
      <sheetName val="9_Peinture6"/>
      <sheetName val="10_ASCEN6"/>
      <sheetName val="VAR_CVC6"/>
      <sheetName val="lot_1_DESAMIANTAGE6"/>
      <sheetName val="2_Etan5"/>
      <sheetName val="3_Me_ext5"/>
      <sheetName val="4_Me_intér5"/>
      <sheetName val="5_Meta5"/>
      <sheetName val="6_Cloi5"/>
      <sheetName val="7_F-pla5"/>
      <sheetName val="8_Revêt5"/>
      <sheetName val="9_Peinture5"/>
      <sheetName val="10_ASCEN5"/>
      <sheetName val="VAR_CVC5"/>
      <sheetName val="lot_1_DESAMIANTAGE5"/>
      <sheetName val="2_Etan7"/>
      <sheetName val="3_Me_ext7"/>
      <sheetName val="4_Me_intér7"/>
      <sheetName val="5_Meta7"/>
      <sheetName val="6_Cloi7"/>
      <sheetName val="7_F-pla7"/>
      <sheetName val="8_Revêt7"/>
      <sheetName val="9_Peinture7"/>
      <sheetName val="10_ASCEN7"/>
      <sheetName val="VAR_CVC7"/>
      <sheetName val="lot_1_DESAMIANTAGE7"/>
      <sheetName val="2_Etan9"/>
      <sheetName val="3_Me_ext9"/>
      <sheetName val="4_Me_intér9"/>
      <sheetName val="5_Meta9"/>
      <sheetName val="6_Cloi9"/>
      <sheetName val="7_F-pla9"/>
      <sheetName val="8_Revêt9"/>
      <sheetName val="9_Peinture9"/>
      <sheetName val="10_ASCEN9"/>
      <sheetName val="VAR_CVC9"/>
      <sheetName val="lot_1_DESAMIANTAGE9"/>
      <sheetName val="2_Etan8"/>
      <sheetName val="3_Me_ext8"/>
      <sheetName val="4_Me_intér8"/>
      <sheetName val="5_Meta8"/>
      <sheetName val="6_Cloi8"/>
      <sheetName val="7_F-pla8"/>
      <sheetName val="8_Revêt8"/>
      <sheetName val="9_Peinture8"/>
      <sheetName val="10_ASCEN8"/>
      <sheetName val="VAR_CVC8"/>
      <sheetName val="lot_1_DESAMIANTAGE8"/>
      <sheetName val="2_Etan10"/>
      <sheetName val="3_Me_ext10"/>
      <sheetName val="4_Me_intér10"/>
      <sheetName val="5_Meta10"/>
      <sheetName val="6_Cloi10"/>
      <sheetName val="7_F-pla10"/>
      <sheetName val="8_Revêt10"/>
      <sheetName val="9_Peinture10"/>
      <sheetName val="10_ASCEN10"/>
      <sheetName val="VAR_CVC10"/>
      <sheetName val="lot_1_DESAMIANTAGE10"/>
      <sheetName val="2_Etan11"/>
      <sheetName val="3_Me_ext11"/>
      <sheetName val="4_Me_intér11"/>
      <sheetName val="5_Meta11"/>
      <sheetName val="6_Cloi11"/>
      <sheetName val="7_F-pla11"/>
      <sheetName val="8_Revêt11"/>
      <sheetName val="9_Peinture11"/>
      <sheetName val="10_ASCEN11"/>
      <sheetName val="VAR_CVC11"/>
      <sheetName val="lot_1_DESAMIANTAGE11"/>
      <sheetName val="2_Etan13"/>
      <sheetName val="3_Me_ext13"/>
      <sheetName val="4_Me_intér13"/>
      <sheetName val="5_Meta13"/>
      <sheetName val="6_Cloi13"/>
      <sheetName val="7_F-pla13"/>
      <sheetName val="8_Revêt13"/>
      <sheetName val="9_Peinture13"/>
      <sheetName val="10_ASCEN13"/>
      <sheetName val="VAR_CVC13"/>
      <sheetName val="lot_1_DESAMIANTAGE13"/>
      <sheetName val="2_Etan12"/>
      <sheetName val="3_Me_ext12"/>
      <sheetName val="4_Me_intér12"/>
      <sheetName val="5_Meta12"/>
      <sheetName val="6_Cloi12"/>
      <sheetName val="7_F-pla12"/>
      <sheetName val="8_Revêt12"/>
      <sheetName val="9_Peinture12"/>
      <sheetName val="10_ASCEN12"/>
      <sheetName val="VAR_CVC12"/>
      <sheetName val="lot_1_DESAMIANTAGE12"/>
      <sheetName val="2_Etan16"/>
      <sheetName val="3_Me_ext16"/>
      <sheetName val="4_Me_intér16"/>
      <sheetName val="5_Meta16"/>
      <sheetName val="6_Cloi16"/>
      <sheetName val="7_F-pla16"/>
      <sheetName val="8_Revêt16"/>
      <sheetName val="9_Peinture16"/>
      <sheetName val="10_ASCEN16"/>
      <sheetName val="VAR_CVC16"/>
      <sheetName val="lot_1_DESAMIANTAGE16"/>
      <sheetName val="2_Etan14"/>
      <sheetName val="3_Me_ext14"/>
      <sheetName val="4_Me_intér14"/>
      <sheetName val="5_Meta14"/>
      <sheetName val="6_Cloi14"/>
      <sheetName val="7_F-pla14"/>
      <sheetName val="8_Revêt14"/>
      <sheetName val="9_Peinture14"/>
      <sheetName val="10_ASCEN14"/>
      <sheetName val="VAR_CVC14"/>
      <sheetName val="lot_1_DESAMIANTAGE14"/>
      <sheetName val="2_Etan15"/>
      <sheetName val="3_Me_ext15"/>
      <sheetName val="4_Me_intér15"/>
      <sheetName val="5_Meta15"/>
      <sheetName val="6_Cloi15"/>
      <sheetName val="7_F-pla15"/>
      <sheetName val="8_Revêt15"/>
      <sheetName val="9_Peinture15"/>
      <sheetName val="10_ASCEN15"/>
      <sheetName val="VAR_CVC15"/>
      <sheetName val="lot_1_DESAMIANTAGE15"/>
      <sheetName val="2_Etan18"/>
      <sheetName val="3_Me_ext18"/>
      <sheetName val="4_Me_intér18"/>
      <sheetName val="5_Meta18"/>
      <sheetName val="6_Cloi18"/>
      <sheetName val="7_F-pla18"/>
      <sheetName val="8_Revêt18"/>
      <sheetName val="9_Peinture18"/>
      <sheetName val="10_ASCEN18"/>
      <sheetName val="VAR_CVC18"/>
      <sheetName val="lot_1_DESAMIANTAGE18"/>
      <sheetName val="2_Etan17"/>
      <sheetName val="3_Me_ext17"/>
      <sheetName val="4_Me_intér17"/>
      <sheetName val="5_Meta17"/>
      <sheetName val="6_Cloi17"/>
      <sheetName val="7_F-pla17"/>
      <sheetName val="8_Revêt17"/>
      <sheetName val="9_Peinture17"/>
      <sheetName val="10_ASCEN17"/>
      <sheetName val="VAR_CVC17"/>
      <sheetName val="lot_1_DESAMIANTAGE17"/>
      <sheetName val="2_Etan22"/>
      <sheetName val="3_Me_ext22"/>
      <sheetName val="4_Me_intér22"/>
      <sheetName val="5_Meta22"/>
      <sheetName val="6_Cloi22"/>
      <sheetName val="7_F-pla22"/>
      <sheetName val="8_Revêt22"/>
      <sheetName val="9_Peinture22"/>
      <sheetName val="10_ASCEN22"/>
      <sheetName val="VAR_CVC22"/>
      <sheetName val="lot_1_DESAMIANTAGE22"/>
      <sheetName val="2_Etan19"/>
      <sheetName val="3_Me_ext19"/>
      <sheetName val="4_Me_intér19"/>
      <sheetName val="5_Meta19"/>
      <sheetName val="6_Cloi19"/>
      <sheetName val="7_F-pla19"/>
      <sheetName val="8_Revêt19"/>
      <sheetName val="9_Peinture19"/>
      <sheetName val="10_ASCEN19"/>
      <sheetName val="VAR_CVC19"/>
      <sheetName val="lot_1_DESAMIANTAGE19"/>
      <sheetName val="2_Etan20"/>
      <sheetName val="3_Me_ext20"/>
      <sheetName val="4_Me_intér20"/>
      <sheetName val="5_Meta20"/>
      <sheetName val="6_Cloi20"/>
      <sheetName val="7_F-pla20"/>
      <sheetName val="8_Revêt20"/>
      <sheetName val="9_Peinture20"/>
      <sheetName val="10_ASCEN20"/>
      <sheetName val="VAR_CVC20"/>
      <sheetName val="lot_1_DESAMIANTAGE20"/>
      <sheetName val="2_Etan21"/>
      <sheetName val="3_Me_ext21"/>
      <sheetName val="4_Me_intér21"/>
      <sheetName val="5_Meta21"/>
      <sheetName val="6_Cloi21"/>
      <sheetName val="7_F-pla21"/>
      <sheetName val="8_Revêt21"/>
      <sheetName val="9_Peinture21"/>
      <sheetName val="10_ASCEN21"/>
      <sheetName val="VAR_CVC21"/>
      <sheetName val="lot_1_DESAMIANTAGE21"/>
      <sheetName val="2_Etan23"/>
      <sheetName val="3_Me_ext23"/>
      <sheetName val="4_Me_intér23"/>
      <sheetName val="5_Meta23"/>
      <sheetName val="6_Cloi23"/>
      <sheetName val="7_F-pla23"/>
      <sheetName val="8_Revêt23"/>
      <sheetName val="9_Peinture23"/>
      <sheetName val="10_ASCEN23"/>
      <sheetName val="VAR_CVC23"/>
      <sheetName val="lot_1_DESAMIANTAGE23"/>
      <sheetName val="2_Etan25"/>
      <sheetName val="3_Me_ext25"/>
      <sheetName val="4_Me_intér25"/>
      <sheetName val="5_Meta25"/>
      <sheetName val="6_Cloi25"/>
      <sheetName val="7_F-pla25"/>
      <sheetName val="8_Revêt25"/>
      <sheetName val="9_Peinture25"/>
      <sheetName val="10_ASCEN25"/>
      <sheetName val="VAR_CVC25"/>
      <sheetName val="lot_1_DESAMIANTAGE25"/>
      <sheetName val="2_Etan24"/>
      <sheetName val="3_Me_ext24"/>
      <sheetName val="4_Me_intér24"/>
      <sheetName val="5_Meta24"/>
      <sheetName val="6_Cloi24"/>
      <sheetName val="7_F-pla24"/>
      <sheetName val="8_Revêt24"/>
      <sheetName val="9_Peinture24"/>
      <sheetName val="10_ASCEN24"/>
      <sheetName val="VAR_CVC24"/>
      <sheetName val="lot_1_DESAMIANTAGE24"/>
      <sheetName val="2_Etan26"/>
      <sheetName val="3_Me_ext26"/>
      <sheetName val="4_Me_intér26"/>
      <sheetName val="5_Meta26"/>
      <sheetName val="6_Cloi26"/>
      <sheetName val="7_F-pla26"/>
      <sheetName val="8_Revêt26"/>
      <sheetName val="9_Peinture26"/>
      <sheetName val="10_ASCEN26"/>
      <sheetName val="VAR_CVC26"/>
      <sheetName val="lot_1_DESAMIANTAGE26"/>
      <sheetName val="2_Etan27"/>
      <sheetName val="3_Me_ext27"/>
      <sheetName val="4_Me_intér27"/>
      <sheetName val="5_Meta27"/>
      <sheetName val="6_Cloi27"/>
      <sheetName val="7_F-pla27"/>
      <sheetName val="8_Revêt27"/>
      <sheetName val="9_Peinture27"/>
      <sheetName val="10_ASCEN27"/>
      <sheetName val="VAR_CVC27"/>
      <sheetName val="lot_1_DESAMIANTAGE27"/>
      <sheetName val="2_Etan28"/>
      <sheetName val="3_Me_ext28"/>
      <sheetName val="4_Me_intér28"/>
      <sheetName val="5_Meta28"/>
      <sheetName val="6_Cloi28"/>
      <sheetName val="7_F-pla28"/>
      <sheetName val="8_Revêt28"/>
      <sheetName val="9_Peinture28"/>
      <sheetName val="10_ASCEN28"/>
      <sheetName val="VAR_CVC28"/>
      <sheetName val="lot_1_DESAMIANTAGE28"/>
      <sheetName val="2_Etan29"/>
      <sheetName val="3_Me_ext29"/>
      <sheetName val="4_Me_intér29"/>
      <sheetName val="5_Meta29"/>
      <sheetName val="6_Cloi29"/>
      <sheetName val="7_F-pla29"/>
      <sheetName val="8_Revêt29"/>
      <sheetName val="9_Peinture29"/>
      <sheetName val="10_ASCEN29"/>
      <sheetName val="VAR_CVC29"/>
      <sheetName val="lot_1_DESAMIANTAGE29"/>
      <sheetName val="2_Etan30"/>
      <sheetName val="3_Me_ext30"/>
      <sheetName val="4_Me_intér30"/>
      <sheetName val="5_Meta30"/>
      <sheetName val="6_Cloi30"/>
      <sheetName val="7_F-pla30"/>
      <sheetName val="8_Revêt30"/>
      <sheetName val="9_Peinture30"/>
      <sheetName val="10_ASCEN30"/>
      <sheetName val="VAR_CVC30"/>
      <sheetName val="lot_1_DESAMIANTAGE30"/>
      <sheetName val="2_Etan31"/>
      <sheetName val="3_Me_ext31"/>
      <sheetName val="4_Me_intér31"/>
      <sheetName val="5_Meta31"/>
      <sheetName val="6_Cloi31"/>
      <sheetName val="7_F-pla31"/>
      <sheetName val="8_Revêt31"/>
      <sheetName val="9_Peinture31"/>
      <sheetName val="10_ASCEN31"/>
      <sheetName val="VAR_CVC31"/>
      <sheetName val="lot_1_DESAMIANTAGE31"/>
      <sheetName val="2_Etan32"/>
      <sheetName val="3_Me_ext32"/>
      <sheetName val="4_Me_intér32"/>
      <sheetName val="5_Meta32"/>
      <sheetName val="6_Cloi32"/>
      <sheetName val="7_F-pla32"/>
      <sheetName val="8_Revêt32"/>
      <sheetName val="9_Peinture32"/>
      <sheetName val="10_ASCEN32"/>
      <sheetName val="VAR_CVC32"/>
      <sheetName val="lot_1_DESAMIANTAGE32"/>
      <sheetName val="2_Etan33"/>
      <sheetName val="3_Me_ext33"/>
      <sheetName val="4_Me_intér33"/>
      <sheetName val="5_Meta33"/>
      <sheetName val="6_Cloi33"/>
      <sheetName val="7_F-pla33"/>
      <sheetName val="8_Revêt33"/>
      <sheetName val="9_Peinture33"/>
      <sheetName val="10_ASCEN33"/>
      <sheetName val="VAR_CVC33"/>
      <sheetName val="lot_1_DESAMIANTAGE33"/>
      <sheetName val="2_Etan34"/>
      <sheetName val="3_Me_ext34"/>
      <sheetName val="4_Me_intér34"/>
      <sheetName val="5_Meta34"/>
      <sheetName val="6_Cloi34"/>
      <sheetName val="7_F-pla34"/>
      <sheetName val="8_Revêt34"/>
      <sheetName val="9_Peinture34"/>
      <sheetName val="10_ASCEN34"/>
      <sheetName val="VAR_CVC34"/>
      <sheetName val="lot_1_DESAMIANTAGE34"/>
      <sheetName val="2_Etan35"/>
      <sheetName val="3_Me_ext35"/>
      <sheetName val="4_Me_intér35"/>
      <sheetName val="5_Meta35"/>
      <sheetName val="6_Cloi35"/>
      <sheetName val="7_F-pla35"/>
      <sheetName val="8_Revêt35"/>
      <sheetName val="9_Peinture35"/>
      <sheetName val="10_ASCEN35"/>
      <sheetName val="VAR_CVC35"/>
      <sheetName val="lot_1_DESAMIANTAGE35"/>
      <sheetName val="2_Etan36"/>
      <sheetName val="3_Me_ext36"/>
      <sheetName val="4_Me_intér36"/>
      <sheetName val="5_Meta36"/>
      <sheetName val="6_Cloi36"/>
      <sheetName val="7_F-pla36"/>
      <sheetName val="8_Revêt36"/>
      <sheetName val="9_Peinture36"/>
      <sheetName val="10_ASCEN36"/>
      <sheetName val="VAR_CVC36"/>
      <sheetName val="lot_1_DESAMIANTAGE36"/>
      <sheetName val="2_Etan37"/>
      <sheetName val="3_Me_ext37"/>
      <sheetName val="4_Me_intér37"/>
      <sheetName val="5_Meta37"/>
      <sheetName val="6_Cloi37"/>
      <sheetName val="7_F-pla37"/>
      <sheetName val="8_Revêt37"/>
      <sheetName val="9_Peinture37"/>
      <sheetName val="10_ASCEN37"/>
      <sheetName val="VAR_CVC37"/>
      <sheetName val="lot_1_DESAMIANTAGE37"/>
      <sheetName val="2_Etan38"/>
      <sheetName val="3_Me_ext38"/>
      <sheetName val="4_Me_intér38"/>
      <sheetName val="5_Meta38"/>
      <sheetName val="6_Cloi38"/>
      <sheetName val="7_F-pla38"/>
      <sheetName val="8_Revêt38"/>
      <sheetName val="9_Peinture38"/>
      <sheetName val="10_ASCEN38"/>
      <sheetName val="VAR_CVC38"/>
      <sheetName val="lot_1_DESAMIANTAGE38"/>
      <sheetName val="2_Etan39"/>
      <sheetName val="3_Me_ext39"/>
      <sheetName val="4_Me_intér39"/>
      <sheetName val="5_Meta39"/>
      <sheetName val="6_Cloi39"/>
      <sheetName val="7_F-pla39"/>
      <sheetName val="8_Revêt39"/>
      <sheetName val="9_Peinture39"/>
      <sheetName val="10_ASCEN39"/>
      <sheetName val="VAR_CVC39"/>
      <sheetName val="lot_1_DESAMIANTAGE39"/>
      <sheetName val="2_Etan41"/>
      <sheetName val="3_Me_ext41"/>
      <sheetName val="4_Me_intér41"/>
      <sheetName val="5_Meta41"/>
      <sheetName val="6_Cloi41"/>
      <sheetName val="7_F-pla41"/>
      <sheetName val="8_Revêt41"/>
      <sheetName val="9_Peinture41"/>
      <sheetName val="10_ASCEN41"/>
      <sheetName val="VAR_CVC41"/>
      <sheetName val="lot_1_DESAMIANTAGE41"/>
      <sheetName val="2_Etan40"/>
      <sheetName val="3_Me_ext40"/>
      <sheetName val="4_Me_intér40"/>
      <sheetName val="5_Meta40"/>
      <sheetName val="6_Cloi40"/>
      <sheetName val="7_F-pla40"/>
      <sheetName val="8_Revêt40"/>
      <sheetName val="9_Peinture40"/>
      <sheetName val="10_ASCEN40"/>
      <sheetName val="VAR_CVC40"/>
      <sheetName val="lot_1_DESAMIANTAGE40"/>
      <sheetName val="2_Etan43"/>
      <sheetName val="3_Me_ext43"/>
      <sheetName val="4_Me_intér43"/>
      <sheetName val="5_Meta43"/>
      <sheetName val="6_Cloi43"/>
      <sheetName val="7_F-pla43"/>
      <sheetName val="8_Revêt43"/>
      <sheetName val="9_Peinture43"/>
      <sheetName val="10_ASCEN43"/>
      <sheetName val="VAR_CVC43"/>
      <sheetName val="lot_1_DESAMIANTAGE43"/>
      <sheetName val="2_Etan42"/>
      <sheetName val="3_Me_ext42"/>
      <sheetName val="4_Me_intér42"/>
      <sheetName val="5_Meta42"/>
      <sheetName val="6_Cloi42"/>
      <sheetName val="7_F-pla42"/>
      <sheetName val="8_Revêt42"/>
      <sheetName val="9_Peinture42"/>
      <sheetName val="10_ASCEN42"/>
      <sheetName val="VAR_CVC42"/>
      <sheetName val="lot_1_DESAMIANTAGE4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4">
          <cell r="G14">
            <v>0</v>
          </cell>
          <cell r="H14">
            <v>0</v>
          </cell>
          <cell r="J14">
            <v>0</v>
          </cell>
        </row>
        <row r="15">
          <cell r="G15">
            <v>0</v>
          </cell>
          <cell r="H15">
            <v>0</v>
          </cell>
          <cell r="J15">
            <v>0</v>
          </cell>
        </row>
        <row r="16">
          <cell r="G16">
            <v>0</v>
          </cell>
          <cell r="H16">
            <v>0</v>
          </cell>
          <cell r="J16">
            <v>0</v>
          </cell>
        </row>
        <row r="17">
          <cell r="G17">
            <v>0</v>
          </cell>
          <cell r="H17">
            <v>0</v>
          </cell>
          <cell r="J17">
            <v>0</v>
          </cell>
        </row>
        <row r="18">
          <cell r="G18">
            <v>8</v>
          </cell>
          <cell r="H18">
            <v>1008</v>
          </cell>
          <cell r="J18">
            <v>1444</v>
          </cell>
        </row>
        <row r="19">
          <cell r="G19">
            <v>0</v>
          </cell>
          <cell r="H19">
            <v>0</v>
          </cell>
          <cell r="J19">
            <v>0</v>
          </cell>
        </row>
        <row r="20">
          <cell r="G20">
            <v>0</v>
          </cell>
          <cell r="H20">
            <v>0</v>
          </cell>
          <cell r="J20">
            <v>0</v>
          </cell>
        </row>
        <row r="21">
          <cell r="G21">
            <v>0</v>
          </cell>
          <cell r="H21">
            <v>0</v>
          </cell>
          <cell r="J21">
            <v>0</v>
          </cell>
        </row>
        <row r="22">
          <cell r="G22">
            <v>0</v>
          </cell>
          <cell r="H22">
            <v>0</v>
          </cell>
          <cell r="J22">
            <v>0</v>
          </cell>
        </row>
        <row r="23">
          <cell r="G23">
            <v>0</v>
          </cell>
          <cell r="H23">
            <v>0</v>
          </cell>
          <cell r="J23">
            <v>0</v>
          </cell>
        </row>
        <row r="24">
          <cell r="G24">
            <v>0</v>
          </cell>
          <cell r="H24">
            <v>0</v>
          </cell>
          <cell r="J24">
            <v>0</v>
          </cell>
        </row>
        <row r="25">
          <cell r="G25">
            <v>0</v>
          </cell>
          <cell r="H25">
            <v>0</v>
          </cell>
          <cell r="J25">
            <v>0</v>
          </cell>
        </row>
        <row r="26">
          <cell r="G26">
            <v>0</v>
          </cell>
          <cell r="H26">
            <v>0</v>
          </cell>
          <cell r="J26">
            <v>0</v>
          </cell>
        </row>
        <row r="27">
          <cell r="G27">
            <v>0</v>
          </cell>
          <cell r="H27">
            <v>0</v>
          </cell>
          <cell r="J27">
            <v>0</v>
          </cell>
        </row>
        <row r="28">
          <cell r="G28">
            <v>15</v>
          </cell>
          <cell r="H28">
            <v>1280</v>
          </cell>
          <cell r="J28">
            <v>1990</v>
          </cell>
        </row>
        <row r="29">
          <cell r="G29">
            <v>3.5</v>
          </cell>
          <cell r="H29">
            <v>431.3</v>
          </cell>
          <cell r="J29">
            <v>620</v>
          </cell>
        </row>
        <row r="30">
          <cell r="G30">
            <v>3.5</v>
          </cell>
          <cell r="H30">
            <v>439.56</v>
          </cell>
          <cell r="J30">
            <v>630</v>
          </cell>
        </row>
        <row r="31">
          <cell r="G31">
            <v>4</v>
          </cell>
          <cell r="H31">
            <v>472.6</v>
          </cell>
          <cell r="J31">
            <v>685</v>
          </cell>
        </row>
        <row r="32">
          <cell r="G32">
            <v>4.5</v>
          </cell>
          <cell r="H32">
            <v>631.89</v>
          </cell>
          <cell r="J32">
            <v>889</v>
          </cell>
        </row>
        <row r="33">
          <cell r="G33">
            <v>0</v>
          </cell>
          <cell r="H33">
            <v>0</v>
          </cell>
          <cell r="J33">
            <v>0</v>
          </cell>
        </row>
        <row r="34">
          <cell r="G34">
            <v>37.5</v>
          </cell>
          <cell r="H34">
            <v>5070</v>
          </cell>
          <cell r="J34">
            <v>7170</v>
          </cell>
        </row>
        <row r="35">
          <cell r="G35">
            <v>0</v>
          </cell>
          <cell r="H35">
            <v>0</v>
          </cell>
          <cell r="J35">
            <v>0</v>
          </cell>
        </row>
        <row r="36">
          <cell r="G36">
            <v>0</v>
          </cell>
          <cell r="H36">
            <v>0</v>
          </cell>
          <cell r="J36">
            <v>0</v>
          </cell>
        </row>
        <row r="37">
          <cell r="G37">
            <v>0</v>
          </cell>
          <cell r="H37">
            <v>0</v>
          </cell>
          <cell r="J37">
            <v>0</v>
          </cell>
        </row>
        <row r="38">
          <cell r="G38">
            <v>0</v>
          </cell>
          <cell r="H38">
            <v>0</v>
          </cell>
          <cell r="J38">
            <v>0</v>
          </cell>
        </row>
        <row r="39">
          <cell r="G39">
            <v>22.5</v>
          </cell>
          <cell r="H39">
            <v>2331</v>
          </cell>
          <cell r="J39">
            <v>3465</v>
          </cell>
        </row>
        <row r="40">
          <cell r="G40">
            <v>0</v>
          </cell>
          <cell r="H40">
            <v>0</v>
          </cell>
          <cell r="J40">
            <v>0</v>
          </cell>
        </row>
        <row r="41">
          <cell r="G41">
            <v>0</v>
          </cell>
          <cell r="H41">
            <v>0</v>
          </cell>
          <cell r="J41">
            <v>0</v>
          </cell>
        </row>
        <row r="42">
          <cell r="G42">
            <v>0</v>
          </cell>
          <cell r="H42">
            <v>0</v>
          </cell>
          <cell r="J42">
            <v>0</v>
          </cell>
        </row>
        <row r="43">
          <cell r="G43">
            <v>0</v>
          </cell>
          <cell r="H43">
            <v>0</v>
          </cell>
          <cell r="J43">
            <v>0</v>
          </cell>
        </row>
        <row r="44">
          <cell r="G44">
            <v>4.5</v>
          </cell>
          <cell r="H44">
            <v>150</v>
          </cell>
          <cell r="J44">
            <v>320</v>
          </cell>
        </row>
        <row r="45">
          <cell r="G45">
            <v>0</v>
          </cell>
          <cell r="H45">
            <v>0</v>
          </cell>
          <cell r="J45">
            <v>0</v>
          </cell>
        </row>
        <row r="46">
          <cell r="G46">
            <v>0</v>
          </cell>
          <cell r="H46">
            <v>0</v>
          </cell>
          <cell r="J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</row>
        <row r="48">
          <cell r="G48">
            <v>0</v>
          </cell>
          <cell r="H48">
            <v>0</v>
          </cell>
          <cell r="J48">
            <v>0</v>
          </cell>
        </row>
        <row r="49">
          <cell r="G49">
            <v>5</v>
          </cell>
          <cell r="H49">
            <v>714</v>
          </cell>
          <cell r="J49">
            <v>1002</v>
          </cell>
        </row>
        <row r="50">
          <cell r="G50">
            <v>0</v>
          </cell>
          <cell r="H50">
            <v>0</v>
          </cell>
          <cell r="J50">
            <v>0</v>
          </cell>
        </row>
        <row r="51">
          <cell r="G51">
            <v>0</v>
          </cell>
          <cell r="H51">
            <v>0</v>
          </cell>
          <cell r="J51">
            <v>0</v>
          </cell>
        </row>
        <row r="52">
          <cell r="G52">
            <v>0</v>
          </cell>
          <cell r="H52">
            <v>0</v>
          </cell>
          <cell r="J52">
            <v>0</v>
          </cell>
        </row>
        <row r="53">
          <cell r="G53">
            <v>0</v>
          </cell>
          <cell r="H53">
            <v>0</v>
          </cell>
          <cell r="J53">
            <v>0</v>
          </cell>
        </row>
        <row r="57">
          <cell r="G57">
            <v>11.25</v>
          </cell>
          <cell r="H57">
            <v>865</v>
          </cell>
          <cell r="J57">
            <v>1380</v>
          </cell>
        </row>
        <row r="58">
          <cell r="G58">
            <v>0</v>
          </cell>
          <cell r="H58">
            <v>0</v>
          </cell>
          <cell r="J58">
            <v>0</v>
          </cell>
        </row>
        <row r="59">
          <cell r="G59">
            <v>0</v>
          </cell>
          <cell r="H59">
            <v>0</v>
          </cell>
          <cell r="J59">
            <v>0</v>
          </cell>
        </row>
        <row r="60">
          <cell r="G60">
            <v>0</v>
          </cell>
          <cell r="H60">
            <v>0</v>
          </cell>
          <cell r="J60">
            <v>0</v>
          </cell>
        </row>
        <row r="61">
          <cell r="G61">
            <v>0</v>
          </cell>
          <cell r="H61">
            <v>0</v>
          </cell>
          <cell r="J61">
            <v>0</v>
          </cell>
        </row>
        <row r="62">
          <cell r="G62">
            <v>10.5</v>
          </cell>
          <cell r="H62">
            <v>1653</v>
          </cell>
          <cell r="J62">
            <v>2286</v>
          </cell>
        </row>
        <row r="63">
          <cell r="G63">
            <v>0</v>
          </cell>
          <cell r="H63">
            <v>0</v>
          </cell>
          <cell r="J63">
            <v>0</v>
          </cell>
        </row>
        <row r="64">
          <cell r="G64">
            <v>0</v>
          </cell>
          <cell r="H64">
            <v>0</v>
          </cell>
          <cell r="J64">
            <v>0</v>
          </cell>
        </row>
        <row r="65">
          <cell r="G65">
            <v>0</v>
          </cell>
          <cell r="H65">
            <v>0</v>
          </cell>
          <cell r="J65">
            <v>0</v>
          </cell>
        </row>
        <row r="66">
          <cell r="G66">
            <v>0</v>
          </cell>
          <cell r="H66">
            <v>0</v>
          </cell>
          <cell r="J66">
            <v>0</v>
          </cell>
        </row>
        <row r="67">
          <cell r="G67">
            <v>0</v>
          </cell>
          <cell r="H67">
            <v>0</v>
          </cell>
          <cell r="J67">
            <v>0</v>
          </cell>
        </row>
        <row r="68">
          <cell r="G68">
            <v>2.5</v>
          </cell>
          <cell r="H68">
            <v>383</v>
          </cell>
          <cell r="J68">
            <v>532</v>
          </cell>
        </row>
        <row r="69">
          <cell r="G69">
            <v>0</v>
          </cell>
          <cell r="H69">
            <v>0</v>
          </cell>
          <cell r="J69">
            <v>0</v>
          </cell>
        </row>
        <row r="70">
          <cell r="G70">
            <v>0</v>
          </cell>
          <cell r="H70">
            <v>0</v>
          </cell>
          <cell r="J70">
            <v>0</v>
          </cell>
        </row>
        <row r="71">
          <cell r="G71">
            <v>0</v>
          </cell>
          <cell r="H71">
            <v>0</v>
          </cell>
          <cell r="J71">
            <v>0</v>
          </cell>
        </row>
        <row r="72">
          <cell r="G72">
            <v>0</v>
          </cell>
          <cell r="H72">
            <v>0</v>
          </cell>
          <cell r="J72">
            <v>0</v>
          </cell>
        </row>
        <row r="73">
          <cell r="G73">
            <v>0</v>
          </cell>
          <cell r="H73">
            <v>0</v>
          </cell>
          <cell r="J73">
            <v>0</v>
          </cell>
        </row>
        <row r="74">
          <cell r="G74">
            <v>2</v>
          </cell>
          <cell r="H74">
            <v>200</v>
          </cell>
          <cell r="J74">
            <v>300</v>
          </cell>
        </row>
        <row r="75">
          <cell r="G75">
            <v>0</v>
          </cell>
          <cell r="H75">
            <v>0</v>
          </cell>
          <cell r="J75">
            <v>0</v>
          </cell>
        </row>
        <row r="76">
          <cell r="G76">
            <v>0</v>
          </cell>
          <cell r="H76">
            <v>0</v>
          </cell>
          <cell r="J76">
            <v>0</v>
          </cell>
        </row>
        <row r="77">
          <cell r="G77">
            <v>0</v>
          </cell>
          <cell r="H77">
            <v>0</v>
          </cell>
          <cell r="J77">
            <v>0</v>
          </cell>
        </row>
        <row r="78">
          <cell r="G78">
            <v>0</v>
          </cell>
          <cell r="H78">
            <v>0</v>
          </cell>
          <cell r="J78">
            <v>0</v>
          </cell>
        </row>
        <row r="79">
          <cell r="G79">
            <v>4</v>
          </cell>
          <cell r="H79">
            <v>348</v>
          </cell>
          <cell r="J79">
            <v>540</v>
          </cell>
        </row>
        <row r="80">
          <cell r="G80">
            <v>0</v>
          </cell>
          <cell r="H80">
            <v>0</v>
          </cell>
          <cell r="J80">
            <v>0</v>
          </cell>
        </row>
        <row r="81">
          <cell r="G81">
            <v>0</v>
          </cell>
          <cell r="H81">
            <v>0</v>
          </cell>
          <cell r="J81">
            <v>0</v>
          </cell>
        </row>
        <row r="82">
          <cell r="G82">
            <v>0</v>
          </cell>
          <cell r="H82">
            <v>0</v>
          </cell>
          <cell r="J82">
            <v>0</v>
          </cell>
        </row>
        <row r="83">
          <cell r="G83">
            <v>11.25</v>
          </cell>
          <cell r="H83">
            <v>1458</v>
          </cell>
          <cell r="J83">
            <v>2079</v>
          </cell>
        </row>
        <row r="84">
          <cell r="G84">
            <v>0</v>
          </cell>
          <cell r="H84">
            <v>0</v>
          </cell>
          <cell r="J84">
            <v>0</v>
          </cell>
        </row>
        <row r="85">
          <cell r="G85">
            <v>0</v>
          </cell>
          <cell r="H85">
            <v>0</v>
          </cell>
          <cell r="J85">
            <v>0</v>
          </cell>
        </row>
        <row r="86">
          <cell r="G86">
            <v>0</v>
          </cell>
          <cell r="H86">
            <v>0</v>
          </cell>
          <cell r="J86">
            <v>0</v>
          </cell>
        </row>
        <row r="87">
          <cell r="G87">
            <v>4.5</v>
          </cell>
          <cell r="H87">
            <v>765</v>
          </cell>
          <cell r="J87">
            <v>1047</v>
          </cell>
        </row>
        <row r="88">
          <cell r="G88">
            <v>0</v>
          </cell>
          <cell r="H88">
            <v>0</v>
          </cell>
          <cell r="J88">
            <v>0</v>
          </cell>
        </row>
        <row r="89">
          <cell r="G89">
            <v>0</v>
          </cell>
          <cell r="H89">
            <v>0</v>
          </cell>
          <cell r="J89">
            <v>0</v>
          </cell>
        </row>
        <row r="90">
          <cell r="G90">
            <v>0</v>
          </cell>
          <cell r="H90">
            <v>0</v>
          </cell>
          <cell r="J90">
            <v>0</v>
          </cell>
        </row>
        <row r="91">
          <cell r="G91">
            <v>0</v>
          </cell>
          <cell r="H91">
            <v>0</v>
          </cell>
          <cell r="J91">
            <v>0</v>
          </cell>
        </row>
        <row r="92">
          <cell r="G92">
            <v>3.25</v>
          </cell>
          <cell r="H92">
            <v>89.18</v>
          </cell>
          <cell r="J92">
            <v>208</v>
          </cell>
        </row>
        <row r="93">
          <cell r="G93">
            <v>11.05</v>
          </cell>
          <cell r="H93">
            <v>106.21</v>
          </cell>
          <cell r="J93">
            <v>481</v>
          </cell>
        </row>
        <row r="94">
          <cell r="G94">
            <v>11.05</v>
          </cell>
          <cell r="H94">
            <v>145.47</v>
          </cell>
          <cell r="J94">
            <v>520</v>
          </cell>
        </row>
        <row r="95">
          <cell r="G95">
            <v>2.5</v>
          </cell>
          <cell r="H95">
            <v>91.5</v>
          </cell>
          <cell r="J95">
            <v>190</v>
          </cell>
        </row>
        <row r="96">
          <cell r="G96">
            <v>2.5</v>
          </cell>
          <cell r="H96">
            <v>180</v>
          </cell>
          <cell r="J96">
            <v>290</v>
          </cell>
        </row>
        <row r="97">
          <cell r="G97">
            <v>1.5</v>
          </cell>
          <cell r="H97">
            <v>96</v>
          </cell>
          <cell r="J97">
            <v>162</v>
          </cell>
        </row>
        <row r="98">
          <cell r="G98">
            <v>0</v>
          </cell>
          <cell r="H98">
            <v>0</v>
          </cell>
          <cell r="J98">
            <v>0</v>
          </cell>
        </row>
        <row r="99">
          <cell r="G99">
            <v>0</v>
          </cell>
          <cell r="H99">
            <v>0</v>
          </cell>
          <cell r="J99">
            <v>0</v>
          </cell>
        </row>
        <row r="100">
          <cell r="G100">
            <v>0.75</v>
          </cell>
          <cell r="H100">
            <v>7.07</v>
          </cell>
          <cell r="J100">
            <v>32</v>
          </cell>
        </row>
        <row r="101">
          <cell r="G101">
            <v>0.75</v>
          </cell>
          <cell r="H101">
            <v>9.4499999999999993</v>
          </cell>
          <cell r="J101">
            <v>35</v>
          </cell>
        </row>
        <row r="102">
          <cell r="G102">
            <v>0.75</v>
          </cell>
          <cell r="H102">
            <v>20</v>
          </cell>
          <cell r="J102">
            <v>47</v>
          </cell>
        </row>
        <row r="103">
          <cell r="G103">
            <v>0</v>
          </cell>
          <cell r="H103">
            <v>0</v>
          </cell>
          <cell r="J103">
            <v>0</v>
          </cell>
        </row>
        <row r="104">
          <cell r="G104">
            <v>0</v>
          </cell>
          <cell r="H104">
            <v>0</v>
          </cell>
          <cell r="J104">
            <v>0</v>
          </cell>
        </row>
        <row r="105">
          <cell r="G105">
            <v>3</v>
          </cell>
          <cell r="H105">
            <v>201</v>
          </cell>
          <cell r="J105">
            <v>333</v>
          </cell>
        </row>
        <row r="106">
          <cell r="G106">
            <v>1</v>
          </cell>
          <cell r="H106">
            <v>60</v>
          </cell>
          <cell r="J106">
            <v>103</v>
          </cell>
        </row>
        <row r="107">
          <cell r="G107">
            <v>2.5</v>
          </cell>
          <cell r="H107">
            <v>101</v>
          </cell>
          <cell r="J107">
            <v>199</v>
          </cell>
        </row>
        <row r="108">
          <cell r="G108">
            <v>3</v>
          </cell>
          <cell r="H108">
            <v>28.28</v>
          </cell>
          <cell r="J108">
            <v>128</v>
          </cell>
        </row>
        <row r="109">
          <cell r="G109">
            <v>0</v>
          </cell>
          <cell r="H109">
            <v>0</v>
          </cell>
          <cell r="J109">
            <v>0</v>
          </cell>
        </row>
        <row r="110">
          <cell r="G110">
            <v>0</v>
          </cell>
          <cell r="H110">
            <v>0</v>
          </cell>
          <cell r="J110">
            <v>0</v>
          </cell>
        </row>
        <row r="111">
          <cell r="G111">
            <v>2</v>
          </cell>
          <cell r="H111">
            <v>64</v>
          </cell>
          <cell r="J111">
            <v>140</v>
          </cell>
        </row>
        <row r="112">
          <cell r="G112">
            <v>3</v>
          </cell>
          <cell r="H112">
            <v>28.28</v>
          </cell>
          <cell r="J112">
            <v>128</v>
          </cell>
        </row>
        <row r="113">
          <cell r="G113">
            <v>2.5</v>
          </cell>
          <cell r="H113">
            <v>60</v>
          </cell>
          <cell r="J113">
            <v>150</v>
          </cell>
        </row>
        <row r="114">
          <cell r="G114">
            <v>0</v>
          </cell>
          <cell r="H114">
            <v>0</v>
          </cell>
          <cell r="J114">
            <v>0</v>
          </cell>
        </row>
        <row r="115">
          <cell r="G115">
            <v>0</v>
          </cell>
          <cell r="H115">
            <v>0</v>
          </cell>
          <cell r="J115">
            <v>0</v>
          </cell>
        </row>
        <row r="116">
          <cell r="G116">
            <v>2.5</v>
          </cell>
          <cell r="H116">
            <v>155</v>
          </cell>
          <cell r="J116">
            <v>263</v>
          </cell>
        </row>
        <row r="117">
          <cell r="G117">
            <v>0</v>
          </cell>
          <cell r="H117">
            <v>0</v>
          </cell>
          <cell r="J117">
            <v>0</v>
          </cell>
        </row>
        <row r="118">
          <cell r="G118">
            <v>0</v>
          </cell>
          <cell r="H118">
            <v>0</v>
          </cell>
          <cell r="J118">
            <v>0</v>
          </cell>
        </row>
        <row r="119">
          <cell r="G119">
            <v>0</v>
          </cell>
          <cell r="H119">
            <v>0</v>
          </cell>
          <cell r="J119">
            <v>0</v>
          </cell>
        </row>
        <row r="120">
          <cell r="G120">
            <v>0</v>
          </cell>
          <cell r="H120">
            <v>0</v>
          </cell>
          <cell r="J120">
            <v>0</v>
          </cell>
        </row>
        <row r="121">
          <cell r="G121">
            <v>2.5</v>
          </cell>
          <cell r="H121">
            <v>351</v>
          </cell>
          <cell r="J121">
            <v>494</v>
          </cell>
        </row>
        <row r="122">
          <cell r="G122">
            <v>0</v>
          </cell>
          <cell r="H122">
            <v>0</v>
          </cell>
          <cell r="J122">
            <v>0</v>
          </cell>
        </row>
        <row r="123">
          <cell r="G123">
            <v>0.75</v>
          </cell>
          <cell r="H123">
            <v>7.07</v>
          </cell>
          <cell r="J123">
            <v>32</v>
          </cell>
        </row>
        <row r="124">
          <cell r="G124">
            <v>0.75</v>
          </cell>
          <cell r="H124">
            <v>20</v>
          </cell>
          <cell r="J124">
            <v>47</v>
          </cell>
        </row>
        <row r="125">
          <cell r="G125">
            <v>0.25</v>
          </cell>
          <cell r="H125">
            <v>75</v>
          </cell>
          <cell r="J125">
            <v>96</v>
          </cell>
        </row>
        <row r="126">
          <cell r="G126">
            <v>0</v>
          </cell>
          <cell r="H126">
            <v>0</v>
          </cell>
          <cell r="J126">
            <v>0</v>
          </cell>
        </row>
        <row r="127">
          <cell r="G127">
            <v>0</v>
          </cell>
          <cell r="H127">
            <v>0</v>
          </cell>
          <cell r="J127">
            <v>0</v>
          </cell>
        </row>
        <row r="128">
          <cell r="G128">
            <v>0</v>
          </cell>
          <cell r="H128">
            <v>0</v>
          </cell>
          <cell r="J128">
            <v>0</v>
          </cell>
        </row>
        <row r="129">
          <cell r="G129">
            <v>3</v>
          </cell>
          <cell r="H129">
            <v>180</v>
          </cell>
          <cell r="J129">
            <v>306</v>
          </cell>
        </row>
        <row r="130">
          <cell r="G130">
            <v>5.4</v>
          </cell>
          <cell r="H130">
            <v>1170</v>
          </cell>
          <cell r="J130">
            <v>1548</v>
          </cell>
        </row>
        <row r="131">
          <cell r="G131">
            <v>3.9</v>
          </cell>
          <cell r="H131">
            <v>780</v>
          </cell>
          <cell r="J131">
            <v>1040</v>
          </cell>
        </row>
        <row r="132">
          <cell r="G132">
            <v>5</v>
          </cell>
          <cell r="H132">
            <v>200</v>
          </cell>
          <cell r="J132">
            <v>395</v>
          </cell>
        </row>
        <row r="133">
          <cell r="G133">
            <v>1.5</v>
          </cell>
          <cell r="H133">
            <v>65</v>
          </cell>
          <cell r="J133">
            <v>124</v>
          </cell>
        </row>
        <row r="134">
          <cell r="G134">
            <v>1.5</v>
          </cell>
          <cell r="H134">
            <v>70</v>
          </cell>
          <cell r="J134">
            <v>130</v>
          </cell>
        </row>
        <row r="135">
          <cell r="G135">
            <v>2</v>
          </cell>
          <cell r="H135">
            <v>85</v>
          </cell>
          <cell r="J135">
            <v>164</v>
          </cell>
        </row>
        <row r="136">
          <cell r="G136">
            <v>2.5</v>
          </cell>
          <cell r="H136">
            <v>100</v>
          </cell>
          <cell r="J136">
            <v>198</v>
          </cell>
        </row>
        <row r="137">
          <cell r="G137">
            <v>6.5</v>
          </cell>
          <cell r="H137">
            <v>4680</v>
          </cell>
          <cell r="J137">
            <v>5733</v>
          </cell>
        </row>
        <row r="138">
          <cell r="G138">
            <v>0</v>
          </cell>
          <cell r="H138">
            <v>0</v>
          </cell>
          <cell r="J138">
            <v>0</v>
          </cell>
        </row>
        <row r="139">
          <cell r="G139">
            <v>0</v>
          </cell>
          <cell r="H139">
            <v>0</v>
          </cell>
          <cell r="J139">
            <v>0</v>
          </cell>
        </row>
        <row r="140">
          <cell r="G140">
            <v>5</v>
          </cell>
          <cell r="H140">
            <v>706</v>
          </cell>
          <cell r="J140">
            <v>992</v>
          </cell>
        </row>
        <row r="141">
          <cell r="G141">
            <v>0</v>
          </cell>
          <cell r="H141">
            <v>0</v>
          </cell>
          <cell r="J141">
            <v>0</v>
          </cell>
        </row>
        <row r="142">
          <cell r="G142">
            <v>0</v>
          </cell>
          <cell r="H142">
            <v>0</v>
          </cell>
          <cell r="J142">
            <v>0</v>
          </cell>
        </row>
        <row r="143">
          <cell r="G143">
            <v>0</v>
          </cell>
          <cell r="H143">
            <v>0</v>
          </cell>
          <cell r="J143">
            <v>0</v>
          </cell>
        </row>
        <row r="144">
          <cell r="G144">
            <v>4</v>
          </cell>
          <cell r="H144">
            <v>902</v>
          </cell>
          <cell r="J144">
            <v>1192</v>
          </cell>
        </row>
        <row r="145">
          <cell r="G145">
            <v>0</v>
          </cell>
          <cell r="H145">
            <v>0</v>
          </cell>
          <cell r="J145">
            <v>0</v>
          </cell>
        </row>
        <row r="146">
          <cell r="G146">
            <v>0</v>
          </cell>
          <cell r="H146">
            <v>0</v>
          </cell>
          <cell r="J146">
            <v>0</v>
          </cell>
        </row>
        <row r="149">
          <cell r="G149">
            <v>4</v>
          </cell>
          <cell r="H149">
            <v>504</v>
          </cell>
          <cell r="J149">
            <v>722</v>
          </cell>
        </row>
        <row r="150">
          <cell r="G150">
            <v>0</v>
          </cell>
          <cell r="H150">
            <v>0</v>
          </cell>
          <cell r="J150">
            <v>0</v>
          </cell>
        </row>
        <row r="151">
          <cell r="G151">
            <v>0</v>
          </cell>
          <cell r="H151">
            <v>0</v>
          </cell>
          <cell r="J151">
            <v>0</v>
          </cell>
        </row>
        <row r="152">
          <cell r="G152">
            <v>0</v>
          </cell>
          <cell r="H152">
            <v>0</v>
          </cell>
          <cell r="J152">
            <v>0</v>
          </cell>
        </row>
        <row r="153">
          <cell r="G153">
            <v>0.6</v>
          </cell>
          <cell r="H153">
            <v>44</v>
          </cell>
          <cell r="J153">
            <v>72</v>
          </cell>
        </row>
        <row r="154">
          <cell r="G154">
            <v>1</v>
          </cell>
          <cell r="H154">
            <v>26</v>
          </cell>
          <cell r="J154">
            <v>62</v>
          </cell>
        </row>
        <row r="155">
          <cell r="G155">
            <v>6.5</v>
          </cell>
          <cell r="H155">
            <v>698</v>
          </cell>
          <cell r="J155">
            <v>1030</v>
          </cell>
        </row>
        <row r="156">
          <cell r="G156">
            <v>0</v>
          </cell>
          <cell r="H156">
            <v>0</v>
          </cell>
          <cell r="J156">
            <v>0</v>
          </cell>
        </row>
        <row r="157">
          <cell r="G157">
            <v>0</v>
          </cell>
          <cell r="H157">
            <v>0</v>
          </cell>
          <cell r="J157">
            <v>0</v>
          </cell>
        </row>
        <row r="158">
          <cell r="G158">
            <v>0</v>
          </cell>
          <cell r="H158">
            <v>0</v>
          </cell>
          <cell r="J158">
            <v>0</v>
          </cell>
        </row>
        <row r="159">
          <cell r="G159">
            <v>0</v>
          </cell>
          <cell r="H159">
            <v>0</v>
          </cell>
          <cell r="J159">
            <v>0</v>
          </cell>
        </row>
        <row r="160">
          <cell r="G160">
            <v>0</v>
          </cell>
          <cell r="H160">
            <v>0</v>
          </cell>
          <cell r="J160">
            <v>0</v>
          </cell>
        </row>
        <row r="162">
          <cell r="G162">
            <v>0</v>
          </cell>
          <cell r="H162">
            <v>0</v>
          </cell>
          <cell r="J162">
            <v>0</v>
          </cell>
        </row>
        <row r="163">
          <cell r="G163">
            <v>0</v>
          </cell>
          <cell r="H163">
            <v>0</v>
          </cell>
          <cell r="J163">
            <v>0</v>
          </cell>
        </row>
        <row r="164">
          <cell r="G164">
            <v>0</v>
          </cell>
          <cell r="H164">
            <v>0</v>
          </cell>
          <cell r="J164">
            <v>0</v>
          </cell>
        </row>
        <row r="165">
          <cell r="G165">
            <v>0</v>
          </cell>
          <cell r="H165">
            <v>0</v>
          </cell>
          <cell r="J165">
            <v>0</v>
          </cell>
        </row>
        <row r="166">
          <cell r="G166">
            <v>0</v>
          </cell>
          <cell r="H166">
            <v>0</v>
          </cell>
          <cell r="J166">
            <v>0</v>
          </cell>
        </row>
        <row r="167">
          <cell r="G167">
            <v>0</v>
          </cell>
          <cell r="H167">
            <v>0</v>
          </cell>
          <cell r="J167">
            <v>0</v>
          </cell>
        </row>
        <row r="168">
          <cell r="G168">
            <v>0</v>
          </cell>
          <cell r="H168">
            <v>0</v>
          </cell>
          <cell r="J168">
            <v>0</v>
          </cell>
        </row>
        <row r="169">
          <cell r="G169">
            <v>0</v>
          </cell>
          <cell r="H169">
            <v>0</v>
          </cell>
          <cell r="J169">
            <v>0</v>
          </cell>
        </row>
        <row r="170">
          <cell r="G170">
            <v>1.2</v>
          </cell>
          <cell r="H170">
            <v>52.2</v>
          </cell>
          <cell r="J170">
            <v>102</v>
          </cell>
        </row>
        <row r="171">
          <cell r="G171">
            <v>1.2</v>
          </cell>
          <cell r="H171">
            <v>227.7</v>
          </cell>
          <cell r="J171">
            <v>307</v>
          </cell>
        </row>
        <row r="172">
          <cell r="G172">
            <v>3.6</v>
          </cell>
          <cell r="H172">
            <v>97.77</v>
          </cell>
          <cell r="J172">
            <v>231</v>
          </cell>
        </row>
        <row r="173">
          <cell r="G173">
            <v>1.2</v>
          </cell>
          <cell r="H173">
            <v>134</v>
          </cell>
          <cell r="J173">
            <v>196</v>
          </cell>
        </row>
        <row r="174">
          <cell r="G174">
            <v>0.9</v>
          </cell>
          <cell r="H174">
            <v>9.39</v>
          </cell>
          <cell r="J174">
            <v>40</v>
          </cell>
        </row>
        <row r="175">
          <cell r="G175">
            <v>2.5</v>
          </cell>
          <cell r="H175">
            <v>60</v>
          </cell>
          <cell r="J175">
            <v>150</v>
          </cell>
        </row>
        <row r="176">
          <cell r="G176">
            <v>0</v>
          </cell>
          <cell r="H176">
            <v>0</v>
          </cell>
          <cell r="J176">
            <v>0</v>
          </cell>
        </row>
        <row r="177">
          <cell r="G177">
            <v>2.5</v>
          </cell>
          <cell r="H177">
            <v>60</v>
          </cell>
          <cell r="J177">
            <v>150</v>
          </cell>
        </row>
        <row r="178">
          <cell r="G178">
            <v>1.1000000000000001</v>
          </cell>
          <cell r="H178">
            <v>20.55</v>
          </cell>
          <cell r="J178">
            <v>59</v>
          </cell>
        </row>
        <row r="179">
          <cell r="G179">
            <v>1.1000000000000001</v>
          </cell>
          <cell r="H179">
            <v>45.06</v>
          </cell>
          <cell r="J179">
            <v>88</v>
          </cell>
        </row>
        <row r="180">
          <cell r="G180">
            <v>0</v>
          </cell>
          <cell r="H180">
            <v>0</v>
          </cell>
          <cell r="J180">
            <v>0</v>
          </cell>
        </row>
        <row r="181">
          <cell r="G181">
            <v>0</v>
          </cell>
          <cell r="H181">
            <v>0</v>
          </cell>
          <cell r="J181">
            <v>0</v>
          </cell>
        </row>
        <row r="182">
          <cell r="G182">
            <v>1.1000000000000001</v>
          </cell>
          <cell r="H182">
            <v>20.55</v>
          </cell>
          <cell r="J182">
            <v>59</v>
          </cell>
        </row>
        <row r="183">
          <cell r="G183">
            <v>0</v>
          </cell>
          <cell r="H183">
            <v>0</v>
          </cell>
          <cell r="J183">
            <v>0</v>
          </cell>
        </row>
        <row r="184">
          <cell r="G184">
            <v>0</v>
          </cell>
          <cell r="H184">
            <v>0</v>
          </cell>
          <cell r="J184">
            <v>0</v>
          </cell>
        </row>
        <row r="185">
          <cell r="G185">
            <v>0.85</v>
          </cell>
          <cell r="H185">
            <v>8.17</v>
          </cell>
          <cell r="J185">
            <v>37</v>
          </cell>
        </row>
        <row r="186">
          <cell r="G186">
            <v>0.85</v>
          </cell>
          <cell r="H186">
            <v>8.17</v>
          </cell>
          <cell r="J186">
            <v>37</v>
          </cell>
        </row>
        <row r="187">
          <cell r="G187">
            <v>0</v>
          </cell>
          <cell r="H187">
            <v>0</v>
          </cell>
          <cell r="J187">
            <v>0</v>
          </cell>
        </row>
        <row r="188">
          <cell r="G188">
            <v>0</v>
          </cell>
          <cell r="H188">
            <v>0</v>
          </cell>
          <cell r="J188">
            <v>0</v>
          </cell>
        </row>
        <row r="189">
          <cell r="G189">
            <v>0</v>
          </cell>
          <cell r="H189">
            <v>0</v>
          </cell>
          <cell r="J189">
            <v>0</v>
          </cell>
        </row>
        <row r="190">
          <cell r="G190">
            <v>0</v>
          </cell>
          <cell r="H190">
            <v>0</v>
          </cell>
          <cell r="J190">
            <v>0</v>
          </cell>
        </row>
        <row r="191">
          <cell r="G191">
            <v>11</v>
          </cell>
          <cell r="H191">
            <v>106.48</v>
          </cell>
          <cell r="J191">
            <v>484</v>
          </cell>
        </row>
        <row r="192">
          <cell r="G192">
            <v>40</v>
          </cell>
          <cell r="H192">
            <v>447.2</v>
          </cell>
          <cell r="J192">
            <v>1840</v>
          </cell>
        </row>
        <row r="193">
          <cell r="G193">
            <v>37.26</v>
          </cell>
          <cell r="H193">
            <v>537.51</v>
          </cell>
          <cell r="J193">
            <v>1794</v>
          </cell>
        </row>
        <row r="194">
          <cell r="G194">
            <v>2.36</v>
          </cell>
          <cell r="H194">
            <v>38.76</v>
          </cell>
          <cell r="J194">
            <v>120</v>
          </cell>
        </row>
        <row r="195">
          <cell r="G195">
            <v>30.87</v>
          </cell>
          <cell r="H195">
            <v>547.82000000000005</v>
          </cell>
          <cell r="J195">
            <v>1617</v>
          </cell>
        </row>
        <row r="196">
          <cell r="G196">
            <v>1.1000000000000001</v>
          </cell>
          <cell r="H196">
            <v>20.55</v>
          </cell>
          <cell r="J196">
            <v>59</v>
          </cell>
        </row>
        <row r="197">
          <cell r="G197">
            <v>0</v>
          </cell>
          <cell r="H197">
            <v>0</v>
          </cell>
          <cell r="J197">
            <v>0</v>
          </cell>
        </row>
        <row r="198">
          <cell r="G198">
            <v>0</v>
          </cell>
          <cell r="H198">
            <v>0</v>
          </cell>
          <cell r="J198">
            <v>0</v>
          </cell>
        </row>
        <row r="199">
          <cell r="G199">
            <v>0</v>
          </cell>
          <cell r="H199">
            <v>0</v>
          </cell>
          <cell r="J199">
            <v>0</v>
          </cell>
        </row>
        <row r="200">
          <cell r="G200">
            <v>10.5</v>
          </cell>
          <cell r="H200">
            <v>147</v>
          </cell>
          <cell r="J200">
            <v>525</v>
          </cell>
        </row>
        <row r="201">
          <cell r="G201">
            <v>8.75</v>
          </cell>
          <cell r="H201">
            <v>121.25</v>
          </cell>
          <cell r="J201">
            <v>425</v>
          </cell>
        </row>
        <row r="202">
          <cell r="G202">
            <v>16</v>
          </cell>
          <cell r="H202">
            <v>270</v>
          </cell>
          <cell r="J202">
            <v>840</v>
          </cell>
        </row>
        <row r="203">
          <cell r="G203">
            <v>1.8</v>
          </cell>
          <cell r="H203">
            <v>33.6</v>
          </cell>
          <cell r="J203">
            <v>96</v>
          </cell>
        </row>
        <row r="204">
          <cell r="G204">
            <v>0</v>
          </cell>
          <cell r="H204">
            <v>0</v>
          </cell>
          <cell r="J204">
            <v>0</v>
          </cell>
        </row>
        <row r="205">
          <cell r="G205">
            <v>0</v>
          </cell>
          <cell r="H205">
            <v>0</v>
          </cell>
          <cell r="J205">
            <v>0</v>
          </cell>
        </row>
        <row r="206">
          <cell r="G206">
            <v>6</v>
          </cell>
          <cell r="H206">
            <v>69.760000000000005</v>
          </cell>
          <cell r="J206">
            <v>272</v>
          </cell>
        </row>
        <row r="207">
          <cell r="G207">
            <v>4.5</v>
          </cell>
          <cell r="H207">
            <v>48.65</v>
          </cell>
          <cell r="J207">
            <v>200</v>
          </cell>
        </row>
        <row r="208">
          <cell r="G208">
            <v>6</v>
          </cell>
          <cell r="H208">
            <v>66.78</v>
          </cell>
          <cell r="J208">
            <v>270</v>
          </cell>
        </row>
        <row r="209">
          <cell r="G209">
            <v>1.75</v>
          </cell>
          <cell r="H209">
            <v>54.9</v>
          </cell>
          <cell r="J209">
            <v>120</v>
          </cell>
        </row>
        <row r="210">
          <cell r="G210">
            <v>10.5</v>
          </cell>
          <cell r="H210">
            <v>98.98</v>
          </cell>
          <cell r="J210">
            <v>448</v>
          </cell>
        </row>
        <row r="211">
          <cell r="G211">
            <v>7.2</v>
          </cell>
          <cell r="H211">
            <v>77.84</v>
          </cell>
          <cell r="J211">
            <v>320</v>
          </cell>
        </row>
        <row r="212">
          <cell r="G212">
            <v>1</v>
          </cell>
          <cell r="H212">
            <v>11.13</v>
          </cell>
          <cell r="J212">
            <v>45</v>
          </cell>
        </row>
        <row r="213">
          <cell r="G213">
            <v>10.5</v>
          </cell>
          <cell r="H213">
            <v>132.30000000000001</v>
          </cell>
          <cell r="J213">
            <v>490</v>
          </cell>
        </row>
        <row r="214">
          <cell r="G214">
            <v>6.8</v>
          </cell>
          <cell r="H214">
            <v>89.52</v>
          </cell>
          <cell r="J214">
            <v>320</v>
          </cell>
        </row>
        <row r="215">
          <cell r="G215">
            <v>0.9</v>
          </cell>
          <cell r="H215">
            <v>14.24</v>
          </cell>
          <cell r="J215">
            <v>45</v>
          </cell>
        </row>
        <row r="216">
          <cell r="G216">
            <v>0.2</v>
          </cell>
          <cell r="H216">
            <v>10.68</v>
          </cell>
          <cell r="J216">
            <v>18</v>
          </cell>
        </row>
        <row r="217">
          <cell r="G217">
            <v>0</v>
          </cell>
          <cell r="H217">
            <v>0</v>
          </cell>
          <cell r="J217">
            <v>0</v>
          </cell>
        </row>
        <row r="218">
          <cell r="G218">
            <v>0</v>
          </cell>
          <cell r="H218">
            <v>0</v>
          </cell>
          <cell r="J218">
            <v>0</v>
          </cell>
        </row>
        <row r="219">
          <cell r="G219">
            <v>0</v>
          </cell>
          <cell r="H219">
            <v>0</v>
          </cell>
          <cell r="J219">
            <v>0</v>
          </cell>
        </row>
        <row r="220">
          <cell r="G220">
            <v>6.4</v>
          </cell>
          <cell r="H220">
            <v>58.24</v>
          </cell>
          <cell r="J220">
            <v>272</v>
          </cell>
        </row>
        <row r="221">
          <cell r="G221">
            <v>24.8</v>
          </cell>
          <cell r="H221">
            <v>263.5</v>
          </cell>
          <cell r="J221">
            <v>1116</v>
          </cell>
        </row>
        <row r="222">
          <cell r="G222">
            <v>11.6</v>
          </cell>
          <cell r="H222">
            <v>141.22999999999999</v>
          </cell>
          <cell r="J222">
            <v>522</v>
          </cell>
        </row>
        <row r="223">
          <cell r="G223">
            <v>4.4000000000000004</v>
          </cell>
          <cell r="H223">
            <v>60.94</v>
          </cell>
          <cell r="J223">
            <v>209</v>
          </cell>
        </row>
        <row r="224">
          <cell r="G224">
            <v>10.199999999999999</v>
          </cell>
          <cell r="H224">
            <v>119.17</v>
          </cell>
          <cell r="J224">
            <v>459</v>
          </cell>
        </row>
        <row r="225">
          <cell r="G225">
            <v>4.8</v>
          </cell>
          <cell r="H225">
            <v>75.2</v>
          </cell>
          <cell r="J225">
            <v>240</v>
          </cell>
        </row>
        <row r="226">
          <cell r="G226">
            <v>0</v>
          </cell>
          <cell r="H226">
            <v>0</v>
          </cell>
          <cell r="J226">
            <v>0</v>
          </cell>
        </row>
        <row r="227">
          <cell r="G227">
            <v>0</v>
          </cell>
          <cell r="H227">
            <v>0</v>
          </cell>
          <cell r="J227">
            <v>0</v>
          </cell>
        </row>
        <row r="228">
          <cell r="G228">
            <v>0</v>
          </cell>
          <cell r="H228">
            <v>0</v>
          </cell>
          <cell r="J228">
            <v>0</v>
          </cell>
        </row>
        <row r="229">
          <cell r="G229">
            <v>4.5</v>
          </cell>
          <cell r="H229">
            <v>126.5</v>
          </cell>
          <cell r="J229">
            <v>300</v>
          </cell>
        </row>
        <row r="230">
          <cell r="G230">
            <v>1.25</v>
          </cell>
          <cell r="H230">
            <v>11.75</v>
          </cell>
          <cell r="J230">
            <v>50</v>
          </cell>
        </row>
        <row r="231">
          <cell r="G231">
            <v>13</v>
          </cell>
          <cell r="H231">
            <v>182</v>
          </cell>
          <cell r="J231">
            <v>650</v>
          </cell>
        </row>
        <row r="232">
          <cell r="G232">
            <v>0</v>
          </cell>
          <cell r="H232">
            <v>0</v>
          </cell>
          <cell r="J232">
            <v>0</v>
          </cell>
        </row>
        <row r="234">
          <cell r="G234">
            <v>0</v>
          </cell>
          <cell r="H234">
            <v>0</v>
          </cell>
          <cell r="J234">
            <v>0</v>
          </cell>
        </row>
        <row r="236">
          <cell r="G236">
            <v>0</v>
          </cell>
          <cell r="H236">
            <v>0</v>
          </cell>
          <cell r="J236">
            <v>0</v>
          </cell>
        </row>
        <row r="237">
          <cell r="G237">
            <v>0</v>
          </cell>
          <cell r="H237">
            <v>0</v>
          </cell>
          <cell r="J237">
            <v>0</v>
          </cell>
        </row>
        <row r="238">
          <cell r="G238">
            <v>2.5</v>
          </cell>
          <cell r="H238">
            <v>72</v>
          </cell>
          <cell r="J238">
            <v>165</v>
          </cell>
        </row>
        <row r="239">
          <cell r="G239">
            <v>3.95</v>
          </cell>
          <cell r="H239">
            <v>55.9</v>
          </cell>
          <cell r="J239">
            <v>190</v>
          </cell>
        </row>
        <row r="240">
          <cell r="G240">
            <v>1.1000000000000001</v>
          </cell>
          <cell r="H240">
            <v>20.55</v>
          </cell>
          <cell r="J240">
            <v>59</v>
          </cell>
        </row>
        <row r="241">
          <cell r="G241">
            <v>1.1000000000000001</v>
          </cell>
          <cell r="H241">
            <v>45.06</v>
          </cell>
          <cell r="J241">
            <v>88</v>
          </cell>
        </row>
        <row r="242">
          <cell r="G242">
            <v>2</v>
          </cell>
          <cell r="H242">
            <v>63</v>
          </cell>
          <cell r="J242">
            <v>138</v>
          </cell>
        </row>
        <row r="243">
          <cell r="G243">
            <v>0.9</v>
          </cell>
          <cell r="H243">
            <v>9.39</v>
          </cell>
          <cell r="J243">
            <v>40</v>
          </cell>
        </row>
        <row r="244">
          <cell r="G244">
            <v>0</v>
          </cell>
          <cell r="H244">
            <v>0</v>
          </cell>
          <cell r="J244">
            <v>0</v>
          </cell>
        </row>
        <row r="245">
          <cell r="G245">
            <v>0</v>
          </cell>
          <cell r="H245">
            <v>0</v>
          </cell>
          <cell r="J245">
            <v>0</v>
          </cell>
        </row>
        <row r="246">
          <cell r="G246">
            <v>0</v>
          </cell>
          <cell r="H246">
            <v>0</v>
          </cell>
          <cell r="J246">
            <v>0</v>
          </cell>
        </row>
        <row r="247">
          <cell r="G247">
            <v>8.5</v>
          </cell>
          <cell r="H247">
            <v>82.28</v>
          </cell>
          <cell r="J247">
            <v>374</v>
          </cell>
        </row>
        <row r="248">
          <cell r="G248">
            <v>39.5</v>
          </cell>
          <cell r="H248">
            <v>441.61</v>
          </cell>
          <cell r="J248">
            <v>1817</v>
          </cell>
        </row>
        <row r="249">
          <cell r="G249">
            <v>35.64</v>
          </cell>
          <cell r="H249">
            <v>514.14</v>
          </cell>
          <cell r="J249">
            <v>1716</v>
          </cell>
        </row>
        <row r="250">
          <cell r="G250">
            <v>20.65</v>
          </cell>
          <cell r="H250">
            <v>339.15</v>
          </cell>
          <cell r="J250">
            <v>1050</v>
          </cell>
        </row>
        <row r="251">
          <cell r="G251">
            <v>20.16</v>
          </cell>
          <cell r="H251">
            <v>357.76</v>
          </cell>
          <cell r="J251">
            <v>1056</v>
          </cell>
        </row>
        <row r="252">
          <cell r="G252">
            <v>1</v>
          </cell>
          <cell r="H252">
            <v>15.98</v>
          </cell>
          <cell r="J252">
            <v>51</v>
          </cell>
        </row>
        <row r="253">
          <cell r="G253">
            <v>1.1000000000000001</v>
          </cell>
          <cell r="H253">
            <v>20.55</v>
          </cell>
          <cell r="J253">
            <v>59</v>
          </cell>
        </row>
        <row r="254">
          <cell r="G254">
            <v>0</v>
          </cell>
          <cell r="H254">
            <v>0</v>
          </cell>
          <cell r="J254">
            <v>0</v>
          </cell>
        </row>
        <row r="255">
          <cell r="G255">
            <v>0</v>
          </cell>
          <cell r="H255">
            <v>0</v>
          </cell>
          <cell r="J255">
            <v>0</v>
          </cell>
        </row>
        <row r="256">
          <cell r="G256">
            <v>0</v>
          </cell>
          <cell r="H256">
            <v>0</v>
          </cell>
          <cell r="J256">
            <v>0</v>
          </cell>
        </row>
        <row r="257">
          <cell r="G257">
            <v>18</v>
          </cell>
          <cell r="H257">
            <v>252</v>
          </cell>
          <cell r="J257">
            <v>900</v>
          </cell>
        </row>
        <row r="258">
          <cell r="G258">
            <v>19.25</v>
          </cell>
          <cell r="H258">
            <v>266.75</v>
          </cell>
          <cell r="J258">
            <v>935</v>
          </cell>
        </row>
        <row r="259">
          <cell r="G259">
            <v>12.4</v>
          </cell>
          <cell r="H259">
            <v>209.25</v>
          </cell>
          <cell r="J259">
            <v>651</v>
          </cell>
        </row>
        <row r="260">
          <cell r="G260">
            <v>1.8</v>
          </cell>
          <cell r="H260">
            <v>33.6</v>
          </cell>
          <cell r="J260">
            <v>96</v>
          </cell>
        </row>
        <row r="261">
          <cell r="G261">
            <v>0</v>
          </cell>
          <cell r="H261">
            <v>0</v>
          </cell>
          <cell r="J261">
            <v>0</v>
          </cell>
        </row>
        <row r="262">
          <cell r="G262">
            <v>0</v>
          </cell>
          <cell r="H262">
            <v>0</v>
          </cell>
          <cell r="J262">
            <v>0</v>
          </cell>
        </row>
        <row r="263">
          <cell r="G263">
            <v>0</v>
          </cell>
          <cell r="H263">
            <v>0</v>
          </cell>
          <cell r="J263">
            <v>0</v>
          </cell>
        </row>
        <row r="264">
          <cell r="G264">
            <v>9.9</v>
          </cell>
          <cell r="H264">
            <v>381.7</v>
          </cell>
          <cell r="J264">
            <v>770</v>
          </cell>
        </row>
        <row r="265">
          <cell r="G265">
            <v>10</v>
          </cell>
          <cell r="H265">
            <v>390</v>
          </cell>
          <cell r="J265">
            <v>780</v>
          </cell>
        </row>
        <row r="266">
          <cell r="G266">
            <v>7.7</v>
          </cell>
          <cell r="H266">
            <v>296.87</v>
          </cell>
          <cell r="J266">
            <v>595</v>
          </cell>
        </row>
        <row r="267">
          <cell r="G267">
            <v>0.55000000000000004</v>
          </cell>
          <cell r="H267">
            <v>21.12</v>
          </cell>
          <cell r="J267">
            <v>44</v>
          </cell>
        </row>
        <row r="268">
          <cell r="G268">
            <v>1.1000000000000001</v>
          </cell>
          <cell r="H268">
            <v>10.01</v>
          </cell>
          <cell r="J268">
            <v>44</v>
          </cell>
        </row>
        <row r="269">
          <cell r="G269">
            <v>3.3</v>
          </cell>
          <cell r="H269">
            <v>279.73</v>
          </cell>
          <cell r="J269">
            <v>440</v>
          </cell>
        </row>
        <row r="270">
          <cell r="G270">
            <v>6.75</v>
          </cell>
          <cell r="H270">
            <v>63.63</v>
          </cell>
          <cell r="J270">
            <v>288</v>
          </cell>
        </row>
        <row r="271">
          <cell r="G271">
            <v>5.0999999999999996</v>
          </cell>
          <cell r="H271">
            <v>49.02</v>
          </cell>
          <cell r="J271">
            <v>222</v>
          </cell>
        </row>
        <row r="272">
          <cell r="G272">
            <v>6.75</v>
          </cell>
          <cell r="H272">
            <v>85.05</v>
          </cell>
          <cell r="J272">
            <v>315</v>
          </cell>
        </row>
        <row r="273">
          <cell r="G273">
            <v>5.0999999999999996</v>
          </cell>
          <cell r="H273">
            <v>67.14</v>
          </cell>
          <cell r="J273">
            <v>240</v>
          </cell>
        </row>
        <row r="274">
          <cell r="G274">
            <v>0</v>
          </cell>
          <cell r="H274">
            <v>0</v>
          </cell>
          <cell r="J274">
            <v>0</v>
          </cell>
        </row>
        <row r="275">
          <cell r="G275">
            <v>0</v>
          </cell>
          <cell r="H275">
            <v>0</v>
          </cell>
          <cell r="J275">
            <v>0</v>
          </cell>
        </row>
        <row r="276">
          <cell r="G276">
            <v>0</v>
          </cell>
          <cell r="H276">
            <v>0</v>
          </cell>
          <cell r="J276">
            <v>0</v>
          </cell>
        </row>
        <row r="277">
          <cell r="G277">
            <v>43.2</v>
          </cell>
          <cell r="H277">
            <v>459</v>
          </cell>
          <cell r="J277">
            <v>1944</v>
          </cell>
        </row>
        <row r="278">
          <cell r="G278">
            <v>17.2</v>
          </cell>
          <cell r="H278">
            <v>209.41</v>
          </cell>
          <cell r="J278">
            <v>774</v>
          </cell>
        </row>
        <row r="279">
          <cell r="G279">
            <v>10</v>
          </cell>
          <cell r="H279">
            <v>138.5</v>
          </cell>
          <cell r="J279">
            <v>475</v>
          </cell>
        </row>
        <row r="280">
          <cell r="G280">
            <v>4.8</v>
          </cell>
          <cell r="H280">
            <v>56.08</v>
          </cell>
          <cell r="J280">
            <v>216</v>
          </cell>
        </row>
        <row r="282">
          <cell r="G282">
            <v>0</v>
          </cell>
          <cell r="H282">
            <v>0</v>
          </cell>
          <cell r="J282">
            <v>0</v>
          </cell>
        </row>
        <row r="283">
          <cell r="G283">
            <v>0</v>
          </cell>
          <cell r="H283">
            <v>0</v>
          </cell>
          <cell r="J283">
            <v>0</v>
          </cell>
        </row>
        <row r="284">
          <cell r="G284">
            <v>0</v>
          </cell>
          <cell r="H284">
            <v>0</v>
          </cell>
          <cell r="J284">
            <v>0</v>
          </cell>
        </row>
        <row r="285">
          <cell r="G285">
            <v>6.12</v>
          </cell>
          <cell r="H285">
            <v>148.24</v>
          </cell>
          <cell r="J285">
            <v>374</v>
          </cell>
        </row>
        <row r="286">
          <cell r="G286">
            <v>6.12</v>
          </cell>
          <cell r="H286">
            <v>172.04</v>
          </cell>
          <cell r="J286">
            <v>408</v>
          </cell>
        </row>
        <row r="287">
          <cell r="G287">
            <v>1.7</v>
          </cell>
          <cell r="H287">
            <v>9.52</v>
          </cell>
          <cell r="J287">
            <v>68</v>
          </cell>
        </row>
        <row r="288">
          <cell r="G288">
            <v>1.7</v>
          </cell>
          <cell r="H288">
            <v>15.98</v>
          </cell>
          <cell r="J288">
            <v>68</v>
          </cell>
        </row>
        <row r="289">
          <cell r="G289">
            <v>8.6</v>
          </cell>
          <cell r="H289">
            <v>120.4</v>
          </cell>
          <cell r="J289">
            <v>430</v>
          </cell>
        </row>
        <row r="290">
          <cell r="G290">
            <v>8.6</v>
          </cell>
          <cell r="H290">
            <v>2365</v>
          </cell>
          <cell r="J290">
            <v>3053</v>
          </cell>
        </row>
        <row r="291">
          <cell r="G291">
            <v>0</v>
          </cell>
          <cell r="H291">
            <v>0</v>
          </cell>
          <cell r="J291">
            <v>0</v>
          </cell>
        </row>
        <row r="292">
          <cell r="G292">
            <v>0</v>
          </cell>
          <cell r="H292">
            <v>0</v>
          </cell>
          <cell r="J292">
            <v>0</v>
          </cell>
        </row>
        <row r="293">
          <cell r="G293">
            <v>0</v>
          </cell>
          <cell r="H293">
            <v>0</v>
          </cell>
          <cell r="J293">
            <v>0</v>
          </cell>
        </row>
        <row r="294">
          <cell r="G294">
            <v>0</v>
          </cell>
          <cell r="H294">
            <v>0</v>
          </cell>
          <cell r="J294">
            <v>0</v>
          </cell>
        </row>
        <row r="295">
          <cell r="G295">
            <v>2</v>
          </cell>
          <cell r="H295">
            <v>31.96</v>
          </cell>
          <cell r="J295">
            <v>102</v>
          </cell>
        </row>
        <row r="296">
          <cell r="G296">
            <v>1</v>
          </cell>
          <cell r="H296">
            <v>17.989999999999998</v>
          </cell>
          <cell r="J296">
            <v>53</v>
          </cell>
        </row>
        <row r="297">
          <cell r="G297">
            <v>1.5</v>
          </cell>
          <cell r="H297">
            <v>82.59</v>
          </cell>
          <cell r="J297">
            <v>144</v>
          </cell>
        </row>
        <row r="298">
          <cell r="G298">
            <v>5.4</v>
          </cell>
          <cell r="H298">
            <v>122.66</v>
          </cell>
          <cell r="J298">
            <v>316</v>
          </cell>
        </row>
        <row r="299">
          <cell r="G299">
            <v>0</v>
          </cell>
          <cell r="H299">
            <v>0</v>
          </cell>
          <cell r="J299">
            <v>0</v>
          </cell>
        </row>
        <row r="301">
          <cell r="G301">
            <v>0</v>
          </cell>
          <cell r="H301">
            <v>0</v>
          </cell>
          <cell r="J301">
            <v>0</v>
          </cell>
        </row>
        <row r="302">
          <cell r="G302">
            <v>0</v>
          </cell>
          <cell r="H302">
            <v>0</v>
          </cell>
          <cell r="J302">
            <v>0</v>
          </cell>
        </row>
        <row r="303">
          <cell r="G303">
            <v>0</v>
          </cell>
          <cell r="H303">
            <v>0</v>
          </cell>
          <cell r="J303">
            <v>0</v>
          </cell>
        </row>
        <row r="304">
          <cell r="G304">
            <v>10</v>
          </cell>
          <cell r="H304">
            <v>2780</v>
          </cell>
          <cell r="J304">
            <v>3599</v>
          </cell>
        </row>
        <row r="305">
          <cell r="G305">
            <v>0</v>
          </cell>
          <cell r="H305">
            <v>0</v>
          </cell>
          <cell r="J305">
            <v>0</v>
          </cell>
        </row>
        <row r="306">
          <cell r="G306">
            <v>0</v>
          </cell>
          <cell r="H306">
            <v>0</v>
          </cell>
          <cell r="J306">
            <v>0</v>
          </cell>
        </row>
        <row r="307">
          <cell r="G307">
            <v>0</v>
          </cell>
          <cell r="H307">
            <v>0</v>
          </cell>
          <cell r="J307">
            <v>0</v>
          </cell>
        </row>
        <row r="308">
          <cell r="G308">
            <v>0</v>
          </cell>
          <cell r="H308">
            <v>0</v>
          </cell>
          <cell r="J308">
            <v>0</v>
          </cell>
        </row>
        <row r="309">
          <cell r="G309">
            <v>6</v>
          </cell>
          <cell r="H309">
            <v>780</v>
          </cell>
          <cell r="J309">
            <v>1112</v>
          </cell>
        </row>
        <row r="310">
          <cell r="G310">
            <v>0</v>
          </cell>
          <cell r="H310">
            <v>0</v>
          </cell>
          <cell r="J310">
            <v>0</v>
          </cell>
        </row>
        <row r="311">
          <cell r="G311">
            <v>0</v>
          </cell>
          <cell r="H311">
            <v>0</v>
          </cell>
          <cell r="J311">
            <v>0</v>
          </cell>
        </row>
        <row r="312">
          <cell r="G312">
            <v>0</v>
          </cell>
          <cell r="H312">
            <v>0</v>
          </cell>
          <cell r="J312">
            <v>0</v>
          </cell>
        </row>
        <row r="313">
          <cell r="G313">
            <v>0</v>
          </cell>
          <cell r="H313">
            <v>0</v>
          </cell>
          <cell r="J313">
            <v>0</v>
          </cell>
        </row>
        <row r="314">
          <cell r="G314">
            <v>6</v>
          </cell>
          <cell r="H314">
            <v>1060</v>
          </cell>
          <cell r="J314">
            <v>1442</v>
          </cell>
        </row>
        <row r="315">
          <cell r="G315">
            <v>0</v>
          </cell>
          <cell r="H315">
            <v>0</v>
          </cell>
          <cell r="J315">
            <v>0</v>
          </cell>
        </row>
        <row r="316">
          <cell r="G316">
            <v>0</v>
          </cell>
          <cell r="H316">
            <v>0</v>
          </cell>
          <cell r="J316">
            <v>0</v>
          </cell>
        </row>
        <row r="317">
          <cell r="G317">
            <v>0</v>
          </cell>
          <cell r="H317">
            <v>0</v>
          </cell>
          <cell r="J317">
            <v>0</v>
          </cell>
        </row>
        <row r="318">
          <cell r="G318">
            <v>0</v>
          </cell>
          <cell r="H318">
            <v>0</v>
          </cell>
          <cell r="J318">
            <v>0</v>
          </cell>
        </row>
        <row r="319">
          <cell r="G319">
            <v>2.2000000000000002</v>
          </cell>
          <cell r="H319">
            <v>58.57</v>
          </cell>
          <cell r="J319">
            <v>139</v>
          </cell>
        </row>
        <row r="320">
          <cell r="G320">
            <v>3.2</v>
          </cell>
          <cell r="H320">
            <v>69.650000000000006</v>
          </cell>
          <cell r="J320">
            <v>184</v>
          </cell>
        </row>
        <row r="321">
          <cell r="G321">
            <v>2.7</v>
          </cell>
          <cell r="H321">
            <v>28.17</v>
          </cell>
          <cell r="J321">
            <v>120</v>
          </cell>
        </row>
        <row r="322">
          <cell r="G322">
            <v>3.3</v>
          </cell>
          <cell r="H322">
            <v>61.65</v>
          </cell>
          <cell r="J322">
            <v>177</v>
          </cell>
        </row>
        <row r="323">
          <cell r="G323">
            <v>0.9</v>
          </cell>
          <cell r="H323">
            <v>10.95</v>
          </cell>
          <cell r="J323">
            <v>42</v>
          </cell>
        </row>
        <row r="324">
          <cell r="G324">
            <v>1.1000000000000001</v>
          </cell>
          <cell r="H324">
            <v>21.95</v>
          </cell>
          <cell r="J324">
            <v>61</v>
          </cell>
        </row>
        <row r="325">
          <cell r="G325">
            <v>0</v>
          </cell>
          <cell r="H325">
            <v>920</v>
          </cell>
          <cell r="J325">
            <v>1086</v>
          </cell>
        </row>
        <row r="326">
          <cell r="G326">
            <v>0</v>
          </cell>
          <cell r="H326">
            <v>0</v>
          </cell>
          <cell r="J326">
            <v>0</v>
          </cell>
        </row>
        <row r="327">
          <cell r="G327">
            <v>0</v>
          </cell>
          <cell r="H327">
            <v>350</v>
          </cell>
          <cell r="J327">
            <v>413</v>
          </cell>
        </row>
        <row r="328">
          <cell r="G328">
            <v>0</v>
          </cell>
          <cell r="H328">
            <v>0</v>
          </cell>
          <cell r="J328">
            <v>0</v>
          </cell>
        </row>
        <row r="330">
          <cell r="G330">
            <v>0</v>
          </cell>
          <cell r="H330">
            <v>0</v>
          </cell>
          <cell r="J330">
            <v>0</v>
          </cell>
        </row>
        <row r="333">
          <cell r="G333">
            <v>0</v>
          </cell>
          <cell r="H333">
            <v>0</v>
          </cell>
          <cell r="J333">
            <v>0</v>
          </cell>
        </row>
        <row r="334">
          <cell r="G334">
            <v>0</v>
          </cell>
          <cell r="H334">
            <v>0</v>
          </cell>
          <cell r="J334">
            <v>0</v>
          </cell>
        </row>
        <row r="335">
          <cell r="G335">
            <v>1.8</v>
          </cell>
          <cell r="H335">
            <v>60</v>
          </cell>
          <cell r="J335">
            <v>128</v>
          </cell>
        </row>
        <row r="336">
          <cell r="G336">
            <v>1.3</v>
          </cell>
          <cell r="H336">
            <v>50</v>
          </cell>
          <cell r="J336">
            <v>100</v>
          </cell>
        </row>
        <row r="337">
          <cell r="G337">
            <v>2</v>
          </cell>
          <cell r="H337">
            <v>70</v>
          </cell>
          <cell r="J337">
            <v>146</v>
          </cell>
        </row>
        <row r="338">
          <cell r="G338">
            <v>0</v>
          </cell>
          <cell r="H338">
            <v>0</v>
          </cell>
          <cell r="J338">
            <v>0</v>
          </cell>
        </row>
        <row r="340">
          <cell r="G340">
            <v>0</v>
          </cell>
          <cell r="H340">
            <v>0</v>
          </cell>
          <cell r="J340">
            <v>0</v>
          </cell>
        </row>
        <row r="341">
          <cell r="G341">
            <v>0</v>
          </cell>
          <cell r="H341">
            <v>0</v>
          </cell>
          <cell r="J341">
            <v>0</v>
          </cell>
        </row>
        <row r="342">
          <cell r="G342">
            <v>0</v>
          </cell>
          <cell r="H342">
            <v>0</v>
          </cell>
          <cell r="J342">
            <v>0</v>
          </cell>
        </row>
        <row r="343">
          <cell r="G343">
            <v>0</v>
          </cell>
          <cell r="H343">
            <v>2700</v>
          </cell>
          <cell r="J343">
            <v>3150</v>
          </cell>
        </row>
        <row r="344">
          <cell r="G344">
            <v>0</v>
          </cell>
          <cell r="H344">
            <v>0</v>
          </cell>
          <cell r="J344">
            <v>0</v>
          </cell>
        </row>
        <row r="345">
          <cell r="G345">
            <v>0</v>
          </cell>
          <cell r="H345">
            <v>3600</v>
          </cell>
          <cell r="J345">
            <v>4200</v>
          </cell>
        </row>
        <row r="346">
          <cell r="G346">
            <v>0</v>
          </cell>
          <cell r="H346">
            <v>0</v>
          </cell>
          <cell r="J346">
            <v>0</v>
          </cell>
        </row>
        <row r="347">
          <cell r="G347">
            <v>0</v>
          </cell>
          <cell r="H347">
            <v>0</v>
          </cell>
          <cell r="J347">
            <v>0</v>
          </cell>
        </row>
        <row r="349">
          <cell r="G349">
            <v>0</v>
          </cell>
          <cell r="H349">
            <v>0</v>
          </cell>
          <cell r="J349">
            <v>0</v>
          </cell>
        </row>
        <row r="350">
          <cell r="G350">
            <v>0</v>
          </cell>
          <cell r="H350">
            <v>0</v>
          </cell>
          <cell r="J350">
            <v>0</v>
          </cell>
        </row>
        <row r="351">
          <cell r="G351">
            <v>0</v>
          </cell>
          <cell r="H351">
            <v>0</v>
          </cell>
          <cell r="J351">
            <v>0</v>
          </cell>
        </row>
        <row r="352">
          <cell r="G352">
            <v>0</v>
          </cell>
          <cell r="H352">
            <v>0</v>
          </cell>
          <cell r="J352">
            <v>0</v>
          </cell>
        </row>
        <row r="353">
          <cell r="G353">
            <v>0</v>
          </cell>
          <cell r="H353">
            <v>0</v>
          </cell>
          <cell r="J353">
            <v>0</v>
          </cell>
        </row>
        <row r="354">
          <cell r="G354">
            <v>0</v>
          </cell>
          <cell r="H354">
            <v>0</v>
          </cell>
          <cell r="J354">
            <v>0</v>
          </cell>
        </row>
        <row r="356">
          <cell r="G356">
            <v>0</v>
          </cell>
          <cell r="H356">
            <v>0</v>
          </cell>
          <cell r="J356">
            <v>0</v>
          </cell>
        </row>
        <row r="357">
          <cell r="G357">
            <v>0</v>
          </cell>
          <cell r="H357">
            <v>0</v>
          </cell>
          <cell r="J357">
            <v>0</v>
          </cell>
        </row>
        <row r="358">
          <cell r="G358">
            <v>0</v>
          </cell>
          <cell r="H358">
            <v>0</v>
          </cell>
          <cell r="J358">
            <v>0</v>
          </cell>
        </row>
        <row r="359">
          <cell r="G359">
            <v>0</v>
          </cell>
          <cell r="H359">
            <v>0</v>
          </cell>
          <cell r="J359">
            <v>0</v>
          </cell>
        </row>
        <row r="360">
          <cell r="G360">
            <v>0</v>
          </cell>
          <cell r="H360">
            <v>0</v>
          </cell>
          <cell r="J360">
            <v>0</v>
          </cell>
        </row>
        <row r="361">
          <cell r="G361">
            <v>0</v>
          </cell>
          <cell r="H361">
            <v>0</v>
          </cell>
          <cell r="J361">
            <v>0</v>
          </cell>
        </row>
        <row r="362">
          <cell r="G362">
            <v>0</v>
          </cell>
          <cell r="H362">
            <v>0</v>
          </cell>
          <cell r="J362">
            <v>0</v>
          </cell>
        </row>
        <row r="363">
          <cell r="G363">
            <v>0</v>
          </cell>
          <cell r="H363">
            <v>0</v>
          </cell>
          <cell r="J363">
            <v>0</v>
          </cell>
        </row>
        <row r="364">
          <cell r="G364">
            <v>0</v>
          </cell>
          <cell r="H364">
            <v>0</v>
          </cell>
          <cell r="J364">
            <v>0</v>
          </cell>
        </row>
        <row r="365">
          <cell r="G365">
            <v>16</v>
          </cell>
          <cell r="H365">
            <v>93.6</v>
          </cell>
          <cell r="J365">
            <v>640</v>
          </cell>
        </row>
        <row r="366">
          <cell r="G366">
            <v>26</v>
          </cell>
          <cell r="H366">
            <v>171.6</v>
          </cell>
          <cell r="J366">
            <v>1040</v>
          </cell>
        </row>
        <row r="367">
          <cell r="G367">
            <v>8</v>
          </cell>
          <cell r="H367">
            <v>141.80000000000001</v>
          </cell>
          <cell r="J367">
            <v>420</v>
          </cell>
        </row>
        <row r="368">
          <cell r="G368">
            <v>0</v>
          </cell>
          <cell r="H368">
            <v>0</v>
          </cell>
          <cell r="J368">
            <v>0</v>
          </cell>
        </row>
        <row r="369">
          <cell r="G369">
            <v>0</v>
          </cell>
          <cell r="H369">
            <v>0</v>
          </cell>
          <cell r="J369">
            <v>0</v>
          </cell>
        </row>
        <row r="370">
          <cell r="G370">
            <v>0</v>
          </cell>
          <cell r="H370">
            <v>0</v>
          </cell>
          <cell r="J370">
            <v>0</v>
          </cell>
        </row>
        <row r="371">
          <cell r="G371">
            <v>0</v>
          </cell>
          <cell r="H371">
            <v>0</v>
          </cell>
          <cell r="J371">
            <v>0</v>
          </cell>
        </row>
        <row r="372">
          <cell r="G372">
            <v>0</v>
          </cell>
          <cell r="H372">
            <v>0</v>
          </cell>
          <cell r="J372">
            <v>0</v>
          </cell>
        </row>
        <row r="373">
          <cell r="G373">
            <v>9</v>
          </cell>
          <cell r="H373">
            <v>129.6</v>
          </cell>
          <cell r="J373">
            <v>450</v>
          </cell>
        </row>
        <row r="374">
          <cell r="G374">
            <v>15.6</v>
          </cell>
          <cell r="H374">
            <v>485.68</v>
          </cell>
          <cell r="J374">
            <v>1092</v>
          </cell>
        </row>
        <row r="375">
          <cell r="G375">
            <v>5.6</v>
          </cell>
          <cell r="H375">
            <v>208.64</v>
          </cell>
          <cell r="J375">
            <v>432</v>
          </cell>
        </row>
        <row r="376">
          <cell r="G376">
            <v>24.5</v>
          </cell>
          <cell r="H376">
            <v>596.4</v>
          </cell>
          <cell r="J376">
            <v>1470</v>
          </cell>
        </row>
        <row r="377">
          <cell r="G377">
            <v>4.2</v>
          </cell>
          <cell r="H377">
            <v>136.80000000000001</v>
          </cell>
          <cell r="J377">
            <v>300</v>
          </cell>
        </row>
        <row r="378">
          <cell r="G378">
            <v>0</v>
          </cell>
          <cell r="H378">
            <v>0</v>
          </cell>
          <cell r="J378">
            <v>0</v>
          </cell>
        </row>
        <row r="379">
          <cell r="G379">
            <v>21.7</v>
          </cell>
          <cell r="H379">
            <v>344.1</v>
          </cell>
          <cell r="J379">
            <v>1085</v>
          </cell>
        </row>
        <row r="380">
          <cell r="G380">
            <v>0</v>
          </cell>
          <cell r="H380">
            <v>0</v>
          </cell>
          <cell r="J380">
            <v>0</v>
          </cell>
        </row>
        <row r="381">
          <cell r="G381">
            <v>0</v>
          </cell>
          <cell r="H381">
            <v>0</v>
          </cell>
          <cell r="J381">
            <v>0</v>
          </cell>
        </row>
        <row r="382">
          <cell r="G382">
            <v>0</v>
          </cell>
          <cell r="H382">
            <v>0</v>
          </cell>
          <cell r="J382">
            <v>0</v>
          </cell>
        </row>
        <row r="383">
          <cell r="G383">
            <v>0</v>
          </cell>
          <cell r="H383">
            <v>0</v>
          </cell>
          <cell r="J383">
            <v>0</v>
          </cell>
        </row>
        <row r="384">
          <cell r="G384">
            <v>0</v>
          </cell>
          <cell r="H384">
            <v>0</v>
          </cell>
          <cell r="J384">
            <v>0</v>
          </cell>
        </row>
        <row r="385">
          <cell r="G385">
            <v>0</v>
          </cell>
          <cell r="H385">
            <v>0</v>
          </cell>
          <cell r="J385">
            <v>0</v>
          </cell>
        </row>
        <row r="386">
          <cell r="G386">
            <v>0</v>
          </cell>
          <cell r="H386">
            <v>0</v>
          </cell>
          <cell r="J386">
            <v>0</v>
          </cell>
        </row>
        <row r="387">
          <cell r="G387">
            <v>0</v>
          </cell>
          <cell r="H387">
            <v>0</v>
          </cell>
          <cell r="J387">
            <v>0</v>
          </cell>
        </row>
        <row r="388">
          <cell r="G388">
            <v>9</v>
          </cell>
          <cell r="H388">
            <v>129.6</v>
          </cell>
          <cell r="J388">
            <v>450</v>
          </cell>
        </row>
        <row r="389">
          <cell r="G389">
            <v>12.6</v>
          </cell>
          <cell r="H389">
            <v>199.92</v>
          </cell>
          <cell r="J389">
            <v>630</v>
          </cell>
        </row>
        <row r="390">
          <cell r="G390">
            <v>3.5</v>
          </cell>
          <cell r="H390">
            <v>68.900000000000006</v>
          </cell>
          <cell r="J390">
            <v>190</v>
          </cell>
        </row>
        <row r="391">
          <cell r="G391">
            <v>9</v>
          </cell>
          <cell r="H391">
            <v>160</v>
          </cell>
          <cell r="J391">
            <v>480</v>
          </cell>
        </row>
        <row r="392">
          <cell r="G392">
            <v>0</v>
          </cell>
          <cell r="H392">
            <v>0</v>
          </cell>
          <cell r="J392">
            <v>0</v>
          </cell>
        </row>
        <row r="393">
          <cell r="G393">
            <v>9.1</v>
          </cell>
          <cell r="H393">
            <v>144.30000000000001</v>
          </cell>
          <cell r="J393">
            <v>455</v>
          </cell>
        </row>
        <row r="394">
          <cell r="G394">
            <v>15.4</v>
          </cell>
          <cell r="H394">
            <v>278.95999999999998</v>
          </cell>
          <cell r="J394">
            <v>814</v>
          </cell>
        </row>
        <row r="395">
          <cell r="G395">
            <v>6</v>
          </cell>
          <cell r="H395">
            <v>120</v>
          </cell>
          <cell r="J395">
            <v>333</v>
          </cell>
        </row>
        <row r="396">
          <cell r="G396">
            <v>0</v>
          </cell>
          <cell r="H396">
            <v>0</v>
          </cell>
          <cell r="J396">
            <v>0</v>
          </cell>
        </row>
        <row r="397">
          <cell r="G397">
            <v>0</v>
          </cell>
          <cell r="H397">
            <v>0</v>
          </cell>
          <cell r="J397">
            <v>0</v>
          </cell>
        </row>
        <row r="398">
          <cell r="G398">
            <v>0</v>
          </cell>
          <cell r="H398">
            <v>0</v>
          </cell>
          <cell r="J398">
            <v>0</v>
          </cell>
        </row>
        <row r="399">
          <cell r="G399">
            <v>0</v>
          </cell>
          <cell r="H399">
            <v>0</v>
          </cell>
          <cell r="J399">
            <v>0</v>
          </cell>
        </row>
        <row r="400">
          <cell r="G400">
            <v>0</v>
          </cell>
          <cell r="H400">
            <v>0</v>
          </cell>
          <cell r="J400">
            <v>0</v>
          </cell>
        </row>
        <row r="401">
          <cell r="G401">
            <v>0</v>
          </cell>
          <cell r="H401">
            <v>0</v>
          </cell>
          <cell r="J401">
            <v>0</v>
          </cell>
        </row>
        <row r="402">
          <cell r="G402">
            <v>0</v>
          </cell>
          <cell r="H402">
            <v>0</v>
          </cell>
          <cell r="J402">
            <v>0</v>
          </cell>
        </row>
        <row r="403">
          <cell r="G403">
            <v>106.25</v>
          </cell>
          <cell r="H403">
            <v>2106.3000000000002</v>
          </cell>
          <cell r="J403">
            <v>5865</v>
          </cell>
        </row>
        <row r="404">
          <cell r="G404">
            <v>10</v>
          </cell>
          <cell r="H404">
            <v>281.92</v>
          </cell>
          <cell r="J404">
            <v>648</v>
          </cell>
        </row>
        <row r="405">
          <cell r="G405">
            <v>28.75</v>
          </cell>
          <cell r="H405">
            <v>1014.53</v>
          </cell>
          <cell r="J405">
            <v>2116</v>
          </cell>
        </row>
        <row r="406">
          <cell r="G406">
            <v>172</v>
          </cell>
          <cell r="H406">
            <v>6764.76</v>
          </cell>
          <cell r="J406">
            <v>13502</v>
          </cell>
        </row>
        <row r="407">
          <cell r="G407">
            <v>12.5</v>
          </cell>
          <cell r="H407">
            <v>670.3</v>
          </cell>
          <cell r="J407">
            <v>1190</v>
          </cell>
        </row>
        <row r="408">
          <cell r="G408">
            <v>0</v>
          </cell>
          <cell r="H408">
            <v>0</v>
          </cell>
          <cell r="J408">
            <v>0</v>
          </cell>
        </row>
        <row r="409">
          <cell r="G409">
            <v>0</v>
          </cell>
          <cell r="H409">
            <v>0</v>
          </cell>
          <cell r="J409">
            <v>0</v>
          </cell>
        </row>
        <row r="410">
          <cell r="G410">
            <v>0</v>
          </cell>
          <cell r="H410">
            <v>0</v>
          </cell>
          <cell r="J410">
            <v>0</v>
          </cell>
        </row>
        <row r="411">
          <cell r="G411">
            <v>0</v>
          </cell>
          <cell r="H411">
            <v>0</v>
          </cell>
          <cell r="J411">
            <v>0</v>
          </cell>
        </row>
        <row r="412">
          <cell r="G412">
            <v>0</v>
          </cell>
          <cell r="H412">
            <v>0</v>
          </cell>
          <cell r="J412">
            <v>0</v>
          </cell>
        </row>
        <row r="413">
          <cell r="G413">
            <v>0</v>
          </cell>
          <cell r="H413">
            <v>0</v>
          </cell>
          <cell r="J413">
            <v>0</v>
          </cell>
        </row>
        <row r="414">
          <cell r="G414">
            <v>0</v>
          </cell>
          <cell r="H414">
            <v>0</v>
          </cell>
          <cell r="J414">
            <v>0</v>
          </cell>
        </row>
        <row r="415">
          <cell r="G415">
            <v>3.75</v>
          </cell>
          <cell r="H415">
            <v>113.4</v>
          </cell>
          <cell r="J415">
            <v>255</v>
          </cell>
        </row>
        <row r="416">
          <cell r="G416">
            <v>93.75</v>
          </cell>
          <cell r="H416">
            <v>1858.5</v>
          </cell>
          <cell r="J416">
            <v>5175</v>
          </cell>
        </row>
        <row r="417">
          <cell r="G417">
            <v>50</v>
          </cell>
          <cell r="H417">
            <v>1409.6</v>
          </cell>
          <cell r="J417">
            <v>3240</v>
          </cell>
        </row>
        <row r="418">
          <cell r="G418">
            <v>60</v>
          </cell>
          <cell r="H418">
            <v>2117.2800000000002</v>
          </cell>
          <cell r="J418">
            <v>4416</v>
          </cell>
        </row>
        <row r="419">
          <cell r="G419">
            <v>0</v>
          </cell>
          <cell r="H419">
            <v>2500</v>
          </cell>
          <cell r="J419">
            <v>2950</v>
          </cell>
        </row>
        <row r="420">
          <cell r="G420">
            <v>3</v>
          </cell>
          <cell r="H420">
            <v>120</v>
          </cell>
          <cell r="J420">
            <v>237</v>
          </cell>
        </row>
        <row r="421">
          <cell r="G421">
            <v>0</v>
          </cell>
          <cell r="H421">
            <v>0</v>
          </cell>
          <cell r="J421">
            <v>0</v>
          </cell>
        </row>
        <row r="423">
          <cell r="G423">
            <v>0</v>
          </cell>
          <cell r="H423">
            <v>0</v>
          </cell>
          <cell r="J423">
            <v>0</v>
          </cell>
        </row>
        <row r="424">
          <cell r="G424">
            <v>0</v>
          </cell>
          <cell r="H424">
            <v>0</v>
          </cell>
          <cell r="J424">
            <v>0</v>
          </cell>
        </row>
        <row r="425">
          <cell r="G425">
            <v>0</v>
          </cell>
          <cell r="H425">
            <v>0</v>
          </cell>
          <cell r="J425">
            <v>0</v>
          </cell>
        </row>
        <row r="426">
          <cell r="G426">
            <v>13</v>
          </cell>
          <cell r="H426">
            <v>1768</v>
          </cell>
          <cell r="J426">
            <v>2500</v>
          </cell>
        </row>
        <row r="427">
          <cell r="G427">
            <v>0</v>
          </cell>
          <cell r="H427">
            <v>0</v>
          </cell>
          <cell r="J427">
            <v>0</v>
          </cell>
        </row>
        <row r="428">
          <cell r="G428">
            <v>0</v>
          </cell>
          <cell r="H428">
            <v>0</v>
          </cell>
          <cell r="J428">
            <v>0</v>
          </cell>
        </row>
        <row r="429">
          <cell r="G429">
            <v>0</v>
          </cell>
          <cell r="H429">
            <v>0</v>
          </cell>
          <cell r="J429">
            <v>0</v>
          </cell>
        </row>
        <row r="430">
          <cell r="G430">
            <v>3.3</v>
          </cell>
          <cell r="H430">
            <v>125.14</v>
          </cell>
          <cell r="J430">
            <v>252</v>
          </cell>
        </row>
        <row r="431">
          <cell r="G431">
            <v>2.6</v>
          </cell>
          <cell r="H431">
            <v>201.62</v>
          </cell>
          <cell r="J431">
            <v>320</v>
          </cell>
        </row>
        <row r="432">
          <cell r="G432">
            <v>16.5</v>
          </cell>
          <cell r="H432">
            <v>241.65</v>
          </cell>
          <cell r="J432">
            <v>810</v>
          </cell>
        </row>
        <row r="433">
          <cell r="G433">
            <v>0</v>
          </cell>
          <cell r="H433">
            <v>305</v>
          </cell>
          <cell r="J433">
            <v>360</v>
          </cell>
        </row>
        <row r="434">
          <cell r="G434">
            <v>0</v>
          </cell>
          <cell r="H434">
            <v>0</v>
          </cell>
          <cell r="J434">
            <v>0</v>
          </cell>
        </row>
        <row r="436">
          <cell r="G436">
            <v>0</v>
          </cell>
          <cell r="H436">
            <v>0</v>
          </cell>
          <cell r="J436">
            <v>0</v>
          </cell>
        </row>
        <row r="437">
          <cell r="G437">
            <v>0</v>
          </cell>
          <cell r="H437">
            <v>0</v>
          </cell>
          <cell r="J437">
            <v>0</v>
          </cell>
        </row>
        <row r="438">
          <cell r="G438">
            <v>0</v>
          </cell>
          <cell r="H438">
            <v>0</v>
          </cell>
          <cell r="J438">
            <v>0</v>
          </cell>
        </row>
        <row r="439">
          <cell r="G439">
            <v>4</v>
          </cell>
          <cell r="H439">
            <v>70</v>
          </cell>
          <cell r="J439">
            <v>210</v>
          </cell>
        </row>
        <row r="440">
          <cell r="G440">
            <v>8</v>
          </cell>
          <cell r="H440">
            <v>120</v>
          </cell>
          <cell r="J440">
            <v>396</v>
          </cell>
        </row>
        <row r="441">
          <cell r="G441">
            <v>4</v>
          </cell>
          <cell r="H441">
            <v>642</v>
          </cell>
          <cell r="J441">
            <v>885</v>
          </cell>
        </row>
        <row r="442">
          <cell r="G442">
            <v>3</v>
          </cell>
          <cell r="H442">
            <v>195</v>
          </cell>
          <cell r="J442">
            <v>326</v>
          </cell>
        </row>
        <row r="443">
          <cell r="G443">
            <v>0</v>
          </cell>
          <cell r="H443">
            <v>0</v>
          </cell>
          <cell r="J443">
            <v>0</v>
          </cell>
        </row>
        <row r="445">
          <cell r="G445">
            <v>0</v>
          </cell>
          <cell r="H445">
            <v>0</v>
          </cell>
          <cell r="J445">
            <v>0</v>
          </cell>
        </row>
        <row r="446">
          <cell r="G446">
            <v>0</v>
          </cell>
          <cell r="H446">
            <v>0</v>
          </cell>
          <cell r="J446">
            <v>0</v>
          </cell>
        </row>
        <row r="447">
          <cell r="G447">
            <v>0</v>
          </cell>
          <cell r="H447">
            <v>0</v>
          </cell>
          <cell r="J447">
            <v>0</v>
          </cell>
        </row>
        <row r="448">
          <cell r="G448">
            <v>0</v>
          </cell>
          <cell r="H448">
            <v>1110</v>
          </cell>
          <cell r="J448">
            <v>1295</v>
          </cell>
        </row>
        <row r="449">
          <cell r="G449">
            <v>0</v>
          </cell>
          <cell r="H449">
            <v>0</v>
          </cell>
          <cell r="J449">
            <v>0</v>
          </cell>
        </row>
        <row r="451">
          <cell r="G451">
            <v>0</v>
          </cell>
          <cell r="H451">
            <v>0</v>
          </cell>
          <cell r="J451">
            <v>0</v>
          </cell>
        </row>
        <row r="452">
          <cell r="G452">
            <v>0</v>
          </cell>
          <cell r="H452">
            <v>0</v>
          </cell>
          <cell r="J452">
            <v>0</v>
          </cell>
        </row>
        <row r="453">
          <cell r="G453">
            <v>0</v>
          </cell>
          <cell r="H453">
            <v>0</v>
          </cell>
          <cell r="J453">
            <v>0</v>
          </cell>
        </row>
        <row r="454">
          <cell r="G454">
            <v>0.8</v>
          </cell>
          <cell r="H454">
            <v>53.88</v>
          </cell>
          <cell r="J454">
            <v>89</v>
          </cell>
        </row>
        <row r="455">
          <cell r="G455">
            <v>0</v>
          </cell>
          <cell r="H455">
            <v>0</v>
          </cell>
          <cell r="J455">
            <v>0</v>
          </cell>
        </row>
        <row r="456">
          <cell r="G456">
            <v>0</v>
          </cell>
          <cell r="H456">
            <v>0</v>
          </cell>
          <cell r="J456">
            <v>0</v>
          </cell>
        </row>
        <row r="457">
          <cell r="G457">
            <v>9.5</v>
          </cell>
          <cell r="H457">
            <v>186.4</v>
          </cell>
          <cell r="J457">
            <v>520</v>
          </cell>
        </row>
        <row r="458">
          <cell r="G458">
            <v>0</v>
          </cell>
          <cell r="H458">
            <v>0</v>
          </cell>
          <cell r="J458">
            <v>0</v>
          </cell>
        </row>
        <row r="460">
          <cell r="G460">
            <v>0</v>
          </cell>
          <cell r="H460">
            <v>0</v>
          </cell>
          <cell r="J460">
            <v>0</v>
          </cell>
        </row>
        <row r="461">
          <cell r="G461">
            <v>0</v>
          </cell>
          <cell r="H461">
            <v>0</v>
          </cell>
          <cell r="J461">
            <v>0</v>
          </cell>
        </row>
        <row r="462">
          <cell r="G462">
            <v>0</v>
          </cell>
          <cell r="H462">
            <v>0</v>
          </cell>
          <cell r="J462">
            <v>0</v>
          </cell>
        </row>
        <row r="463">
          <cell r="G463">
            <v>0</v>
          </cell>
          <cell r="H463">
            <v>0</v>
          </cell>
          <cell r="J463">
            <v>0</v>
          </cell>
        </row>
        <row r="464">
          <cell r="G464">
            <v>0</v>
          </cell>
          <cell r="H464">
            <v>0</v>
          </cell>
          <cell r="J464">
            <v>0</v>
          </cell>
        </row>
        <row r="466">
          <cell r="G466">
            <v>0</v>
          </cell>
          <cell r="H466">
            <v>0</v>
          </cell>
          <cell r="J466">
            <v>0</v>
          </cell>
        </row>
        <row r="471">
          <cell r="G471">
            <v>0</v>
          </cell>
          <cell r="H471">
            <v>0</v>
          </cell>
          <cell r="J471">
            <v>0</v>
          </cell>
        </row>
        <row r="472">
          <cell r="G472">
            <v>0</v>
          </cell>
          <cell r="H472">
            <v>0</v>
          </cell>
          <cell r="J472">
            <v>0</v>
          </cell>
        </row>
        <row r="473">
          <cell r="G473">
            <v>8</v>
          </cell>
          <cell r="H473">
            <v>540</v>
          </cell>
          <cell r="J473">
            <v>892</v>
          </cell>
        </row>
        <row r="474">
          <cell r="G474">
            <v>0</v>
          </cell>
          <cell r="H474">
            <v>0</v>
          </cell>
          <cell r="J474">
            <v>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"/>
      <sheetName val="CES1P"/>
      <sheetName val="GO"/>
      <sheetName val="FV"/>
      <sheetName val="REC"/>
      <sheetName val="FRCH"/>
      <sheetName val="CHAUFF+10"/>
      <sheetName val="PLOMB+10"/>
      <sheetName val="Ascenseur"/>
      <sheetName val="CHAUFFAGE"/>
      <sheetName val="PLOMBERIE"/>
      <sheetName val="FV manuscrite"/>
      <sheetName val="FV_manuscrite"/>
      <sheetName val="FV_manuscrite1"/>
      <sheetName val="FV_manuscrite4"/>
      <sheetName val="FV_manuscrite2"/>
      <sheetName val="FV_manuscrite3"/>
      <sheetName val="FV_manuscrite6"/>
      <sheetName val="FV_manuscrite5"/>
      <sheetName val="FV_manuscrite7"/>
      <sheetName val="FV_manuscrite9"/>
      <sheetName val="FV_manuscrite8"/>
      <sheetName val="FV_manuscrite10"/>
      <sheetName val="FV_manuscrite11"/>
      <sheetName val="FV_manuscrite13"/>
      <sheetName val="FV_manuscrite12"/>
      <sheetName val="FV_manuscrite16"/>
      <sheetName val="FV_manuscrite14"/>
      <sheetName val="FV_manuscrite15"/>
      <sheetName val="FV_manuscrite18"/>
      <sheetName val="FV_manuscrite17"/>
      <sheetName val="FV_manuscrite22"/>
      <sheetName val="FV_manuscrite19"/>
      <sheetName val="FV_manuscrite20"/>
      <sheetName val="FV_manuscrite21"/>
      <sheetName val="FV_manuscrite23"/>
      <sheetName val="FV_manuscrite25"/>
      <sheetName val="FV_manuscrite24"/>
      <sheetName val="FV_manuscrite26"/>
      <sheetName val="FV_manuscrite27"/>
      <sheetName val="FV_manuscrite28"/>
      <sheetName val="FV_manuscrite29"/>
      <sheetName val="FV_manuscrite30"/>
      <sheetName val="FV_manuscrite31"/>
      <sheetName val="FV_manuscrite32"/>
      <sheetName val="FV_manuscrite33"/>
      <sheetName val="FV_manuscrite34"/>
      <sheetName val="FV_manuscrite35"/>
      <sheetName val="FV_manuscrite3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A933E-2D76-4D04-94A3-C22AB060E254}">
  <sheetPr>
    <pageSetUpPr fitToPage="1"/>
  </sheetPr>
  <dimension ref="A1:K113"/>
  <sheetViews>
    <sheetView tabSelected="1" zoomScaleNormal="100" workbookViewId="0">
      <selection activeCell="J108" sqref="J108"/>
    </sheetView>
  </sheetViews>
  <sheetFormatPr baseColWidth="10" defaultColWidth="7.7109375" defaultRowHeight="15" customHeight="1"/>
  <cols>
    <col min="1" max="1" width="12.140625" style="2" customWidth="1"/>
    <col min="2" max="2" width="58.7109375" style="2" customWidth="1"/>
    <col min="3" max="3" width="10.7109375" style="48" customWidth="1"/>
    <col min="4" max="4" width="8.140625" style="2" customWidth="1"/>
    <col min="5" max="5" width="14.140625" style="2" customWidth="1"/>
    <col min="6" max="6" width="16" style="2" bestFit="1" customWidth="1"/>
    <col min="7" max="16384" width="7.7109375" style="2"/>
  </cols>
  <sheetData>
    <row r="1" spans="1:11" ht="15" customHeight="1">
      <c r="A1" s="25"/>
      <c r="B1" s="26"/>
      <c r="C1" s="44"/>
      <c r="D1" s="26"/>
      <c r="E1" s="65"/>
      <c r="F1" s="66"/>
      <c r="G1" s="1"/>
      <c r="H1" s="1"/>
      <c r="I1" s="1"/>
      <c r="J1" s="1"/>
      <c r="K1" s="1"/>
    </row>
    <row r="2" spans="1:11" ht="15" customHeight="1">
      <c r="A2" s="27"/>
      <c r="B2" s="28"/>
      <c r="C2" s="42"/>
      <c r="D2" s="29"/>
      <c r="E2" s="30" t="s">
        <v>196</v>
      </c>
      <c r="F2" s="31"/>
      <c r="G2" s="1"/>
      <c r="H2" s="1"/>
      <c r="I2" s="1"/>
      <c r="J2" s="1"/>
      <c r="K2" s="1"/>
    </row>
    <row r="3" spans="1:11" ht="15" customHeight="1">
      <c r="A3" s="32"/>
      <c r="B3" s="29"/>
      <c r="C3" s="45"/>
      <c r="D3" s="28"/>
      <c r="E3" s="30" t="s">
        <v>195</v>
      </c>
      <c r="F3" s="31"/>
      <c r="G3" s="1"/>
      <c r="H3" s="1"/>
      <c r="I3" s="1"/>
      <c r="J3" s="1"/>
      <c r="K3" s="1"/>
    </row>
    <row r="4" spans="1:11" ht="15" customHeight="1">
      <c r="A4" s="32"/>
      <c r="B4" s="29"/>
      <c r="C4" s="42"/>
      <c r="D4" s="29"/>
      <c r="E4" s="30" t="s">
        <v>197</v>
      </c>
      <c r="F4" s="31"/>
      <c r="G4" s="1"/>
      <c r="H4" s="1"/>
      <c r="I4" s="1"/>
      <c r="J4" s="1"/>
      <c r="K4" s="1"/>
    </row>
    <row r="5" spans="1:11" ht="15" customHeight="1">
      <c r="A5" s="33" t="s">
        <v>194</v>
      </c>
      <c r="B5" s="34"/>
      <c r="C5" s="42"/>
      <c r="D5" s="34"/>
      <c r="E5" s="34"/>
      <c r="F5" s="35"/>
      <c r="G5" s="1"/>
      <c r="H5" s="1"/>
      <c r="I5" s="1"/>
      <c r="J5" s="1"/>
      <c r="K5" s="1"/>
    </row>
    <row r="6" spans="1:11" ht="15" customHeight="1">
      <c r="A6" s="36" t="s">
        <v>206</v>
      </c>
      <c r="B6" s="37"/>
      <c r="C6" s="37"/>
      <c r="D6" s="37"/>
      <c r="E6" s="37"/>
      <c r="F6" s="38"/>
      <c r="G6" s="1"/>
      <c r="H6" s="1"/>
      <c r="I6" s="1"/>
      <c r="J6" s="1"/>
      <c r="K6" s="1"/>
    </row>
    <row r="7" spans="1:11" ht="15" customHeight="1">
      <c r="A7" s="36" t="s">
        <v>193</v>
      </c>
      <c r="B7" s="37"/>
      <c r="C7" s="37"/>
      <c r="D7" s="37"/>
      <c r="E7" s="37"/>
      <c r="F7" s="38"/>
      <c r="G7" s="1"/>
      <c r="H7" s="1"/>
      <c r="I7" s="1"/>
      <c r="J7" s="1"/>
      <c r="K7" s="1"/>
    </row>
    <row r="8" spans="1:11" ht="19.5" customHeight="1" thickBot="1">
      <c r="A8" s="39" t="s">
        <v>14</v>
      </c>
      <c r="B8" s="40"/>
      <c r="C8" s="40"/>
      <c r="D8" s="40"/>
      <c r="E8" s="40"/>
      <c r="F8" s="41"/>
      <c r="G8" s="1"/>
      <c r="H8" s="1"/>
      <c r="I8" s="1"/>
      <c r="J8" s="1"/>
      <c r="K8" s="1"/>
    </row>
    <row r="9" spans="1:11" ht="15" customHeight="1">
      <c r="A9" s="1"/>
      <c r="B9" s="1"/>
      <c r="C9" s="4"/>
      <c r="D9" s="1"/>
      <c r="E9" s="1"/>
      <c r="F9" s="1"/>
      <c r="G9" s="1"/>
      <c r="H9" s="1"/>
      <c r="I9" s="1"/>
      <c r="J9" s="1"/>
      <c r="K9" s="1"/>
    </row>
    <row r="10" spans="1:11" ht="13.5" customHeight="1">
      <c r="A10" s="8" t="s">
        <v>15</v>
      </c>
      <c r="B10" s="8" t="s">
        <v>10</v>
      </c>
      <c r="C10" s="46" t="s">
        <v>198</v>
      </c>
      <c r="D10" s="8" t="s">
        <v>199</v>
      </c>
      <c r="E10" s="8" t="s">
        <v>200</v>
      </c>
      <c r="F10" s="8" t="s">
        <v>201</v>
      </c>
      <c r="G10" s="1"/>
      <c r="H10" s="1"/>
      <c r="I10" s="1"/>
      <c r="J10" s="1"/>
      <c r="K10" s="3"/>
    </row>
    <row r="11" spans="1:11" ht="21" customHeight="1">
      <c r="A11" s="9" t="s">
        <v>16</v>
      </c>
      <c r="B11" s="21" t="s">
        <v>17</v>
      </c>
      <c r="C11" s="22"/>
      <c r="D11" s="22"/>
      <c r="E11" s="22"/>
      <c r="F11" s="23"/>
      <c r="G11" s="1"/>
      <c r="H11" s="1"/>
      <c r="I11" s="1"/>
      <c r="J11" s="1"/>
      <c r="K11" s="1"/>
    </row>
    <row r="12" spans="1:11" ht="15" customHeight="1">
      <c r="A12" s="12" t="s">
        <v>18</v>
      </c>
      <c r="B12" s="21" t="s">
        <v>19</v>
      </c>
      <c r="C12" s="22"/>
      <c r="D12" s="22"/>
      <c r="E12" s="22"/>
      <c r="F12" s="23"/>
      <c r="G12" s="1"/>
      <c r="H12" s="1"/>
      <c r="I12" s="1"/>
      <c r="J12" s="1"/>
      <c r="K12" s="1"/>
    </row>
    <row r="13" spans="1:11" ht="15" customHeight="1">
      <c r="A13" s="13" t="s">
        <v>20</v>
      </c>
      <c r="B13" s="13" t="s">
        <v>21</v>
      </c>
      <c r="C13" s="49">
        <v>1</v>
      </c>
      <c r="D13" s="14" t="s">
        <v>22</v>
      </c>
      <c r="E13" s="15">
        <v>650</v>
      </c>
      <c r="F13" s="16">
        <f t="shared" ref="F13:F104" si="0">ROUND(C13*E13,2)</f>
        <v>650</v>
      </c>
      <c r="G13" s="1"/>
      <c r="H13" s="1"/>
      <c r="I13" s="1"/>
      <c r="J13" s="1"/>
      <c r="K13" s="1"/>
    </row>
    <row r="14" spans="1:11" ht="15" customHeight="1">
      <c r="A14" s="13" t="s">
        <v>23</v>
      </c>
      <c r="B14" s="13" t="s">
        <v>24</v>
      </c>
      <c r="C14" s="49">
        <v>1</v>
      </c>
      <c r="D14" s="14" t="s">
        <v>0</v>
      </c>
      <c r="E14" s="15">
        <v>3693.54</v>
      </c>
      <c r="F14" s="16">
        <f t="shared" si="0"/>
        <v>3693.54</v>
      </c>
      <c r="G14" s="1"/>
      <c r="H14" s="1"/>
      <c r="I14" s="1"/>
      <c r="J14" s="1"/>
      <c r="K14" s="1"/>
    </row>
    <row r="15" spans="1:11" ht="15" customHeight="1">
      <c r="A15" s="13" t="s">
        <v>25</v>
      </c>
      <c r="B15" s="13" t="s">
        <v>6</v>
      </c>
      <c r="C15" s="49">
        <v>1</v>
      </c>
      <c r="D15" s="14" t="s">
        <v>22</v>
      </c>
      <c r="E15" s="15">
        <v>550</v>
      </c>
      <c r="F15" s="16">
        <f t="shared" si="0"/>
        <v>550</v>
      </c>
      <c r="G15" s="1"/>
      <c r="H15" s="1"/>
      <c r="I15" s="1"/>
      <c r="J15" s="1"/>
      <c r="K15" s="1"/>
    </row>
    <row r="16" spans="1:11" ht="15" customHeight="1">
      <c r="A16" s="13" t="s">
        <v>26</v>
      </c>
      <c r="B16" s="13" t="s">
        <v>27</v>
      </c>
      <c r="C16" s="49">
        <v>1</v>
      </c>
      <c r="D16" s="14" t="s">
        <v>0</v>
      </c>
      <c r="E16" s="15">
        <v>2200</v>
      </c>
      <c r="F16" s="16">
        <f t="shared" si="0"/>
        <v>2200</v>
      </c>
      <c r="G16" s="1"/>
      <c r="H16" s="1"/>
      <c r="I16" s="1"/>
      <c r="J16" s="1"/>
      <c r="K16" s="1"/>
    </row>
    <row r="17" spans="1:11" ht="15" customHeight="1">
      <c r="A17" s="13" t="s">
        <v>28</v>
      </c>
      <c r="B17" s="13" t="s">
        <v>29</v>
      </c>
      <c r="C17" s="49"/>
      <c r="D17" s="14" t="s">
        <v>13</v>
      </c>
      <c r="E17" s="15">
        <v>0</v>
      </c>
      <c r="F17" s="16"/>
      <c r="G17" s="1"/>
      <c r="H17" s="1"/>
      <c r="I17" s="1"/>
      <c r="J17" s="1"/>
      <c r="K17" s="1"/>
    </row>
    <row r="18" spans="1:11" ht="15" customHeight="1">
      <c r="A18" s="13" t="s">
        <v>30</v>
      </c>
      <c r="B18" s="13" t="s">
        <v>31</v>
      </c>
      <c r="C18" s="49">
        <v>1</v>
      </c>
      <c r="D18" s="14" t="s">
        <v>22</v>
      </c>
      <c r="E18" s="15">
        <v>15535</v>
      </c>
      <c r="F18" s="16">
        <f t="shared" si="0"/>
        <v>15535</v>
      </c>
      <c r="G18" s="1"/>
      <c r="H18" s="1"/>
      <c r="I18" s="1"/>
      <c r="J18" s="1"/>
      <c r="K18" s="1"/>
    </row>
    <row r="19" spans="1:11" ht="15" customHeight="1">
      <c r="A19" s="13" t="s">
        <v>32</v>
      </c>
      <c r="B19" s="13" t="s">
        <v>33</v>
      </c>
      <c r="C19" s="49">
        <v>1</v>
      </c>
      <c r="D19" s="14" t="s">
        <v>0</v>
      </c>
      <c r="E19" s="15">
        <v>2450</v>
      </c>
      <c r="F19" s="16">
        <f t="shared" si="0"/>
        <v>2450</v>
      </c>
      <c r="G19" s="1"/>
      <c r="H19" s="1"/>
      <c r="I19" s="1"/>
      <c r="J19" s="1"/>
      <c r="K19" s="1"/>
    </row>
    <row r="20" spans="1:11" ht="15" customHeight="1">
      <c r="A20" s="13" t="s">
        <v>34</v>
      </c>
      <c r="B20" s="13" t="s">
        <v>35</v>
      </c>
      <c r="C20" s="49">
        <v>1</v>
      </c>
      <c r="D20" s="14" t="s">
        <v>0</v>
      </c>
      <c r="E20" s="15">
        <v>35572</v>
      </c>
      <c r="F20" s="16">
        <f t="shared" si="0"/>
        <v>35572</v>
      </c>
      <c r="G20" s="1"/>
      <c r="H20" s="1"/>
      <c r="I20" s="1"/>
      <c r="J20" s="1"/>
      <c r="K20" s="1"/>
    </row>
    <row r="21" spans="1:11" ht="15" customHeight="1">
      <c r="A21" s="13" t="s">
        <v>36</v>
      </c>
      <c r="B21" s="13" t="s">
        <v>37</v>
      </c>
      <c r="C21" s="49">
        <v>1</v>
      </c>
      <c r="D21" s="14" t="s">
        <v>22</v>
      </c>
      <c r="E21" s="15">
        <v>2280</v>
      </c>
      <c r="F21" s="16">
        <f t="shared" si="0"/>
        <v>2280</v>
      </c>
      <c r="G21" s="1"/>
      <c r="H21" s="1"/>
      <c r="I21" s="1"/>
      <c r="J21" s="1"/>
      <c r="K21" s="1"/>
    </row>
    <row r="22" spans="1:11" ht="15" customHeight="1">
      <c r="A22" s="13" t="s">
        <v>38</v>
      </c>
      <c r="B22" s="13" t="s">
        <v>39</v>
      </c>
      <c r="C22" s="17"/>
      <c r="D22" s="14" t="s">
        <v>40</v>
      </c>
      <c r="E22" s="15">
        <v>0</v>
      </c>
      <c r="F22" s="16"/>
      <c r="G22" s="1"/>
      <c r="H22" s="1"/>
      <c r="I22" s="1"/>
      <c r="J22" s="1"/>
      <c r="K22" s="1"/>
    </row>
    <row r="23" spans="1:11" ht="15" customHeight="1">
      <c r="A23" s="12" t="s">
        <v>41</v>
      </c>
      <c r="B23" s="21" t="s">
        <v>42</v>
      </c>
      <c r="C23" s="22"/>
      <c r="D23" s="22"/>
      <c r="E23" s="22"/>
      <c r="F23" s="23"/>
      <c r="G23" s="1"/>
      <c r="H23" s="1"/>
      <c r="I23" s="1"/>
      <c r="J23" s="1"/>
      <c r="K23" s="1"/>
    </row>
    <row r="24" spans="1:11" ht="15" customHeight="1">
      <c r="A24" s="13" t="s">
        <v>43</v>
      </c>
      <c r="B24" s="13" t="s">
        <v>44</v>
      </c>
      <c r="C24" s="17"/>
      <c r="D24" s="14" t="s">
        <v>40</v>
      </c>
      <c r="E24" s="15">
        <v>0</v>
      </c>
      <c r="F24" s="16"/>
      <c r="G24" s="1"/>
      <c r="H24" s="1"/>
      <c r="I24" s="1"/>
      <c r="J24" s="1"/>
      <c r="K24" s="1"/>
    </row>
    <row r="25" spans="1:11" ht="15" customHeight="1">
      <c r="A25" s="13" t="s">
        <v>45</v>
      </c>
      <c r="B25" s="13" t="s">
        <v>46</v>
      </c>
      <c r="C25" s="17"/>
      <c r="D25" s="14" t="s">
        <v>40</v>
      </c>
      <c r="E25" s="15">
        <v>0</v>
      </c>
      <c r="F25" s="16"/>
      <c r="G25" s="1"/>
      <c r="H25" s="1"/>
      <c r="I25" s="1"/>
      <c r="J25" s="1"/>
      <c r="K25" s="1"/>
    </row>
    <row r="26" spans="1:11" ht="15" customHeight="1">
      <c r="A26" s="13" t="s">
        <v>47</v>
      </c>
      <c r="B26" s="13" t="s">
        <v>48</v>
      </c>
      <c r="C26" s="17"/>
      <c r="D26" s="14" t="s">
        <v>40</v>
      </c>
      <c r="E26" s="15">
        <v>0</v>
      </c>
      <c r="F26" s="16"/>
      <c r="G26" s="1"/>
      <c r="H26" s="1"/>
      <c r="I26" s="1"/>
      <c r="J26" s="1"/>
      <c r="K26" s="1"/>
    </row>
    <row r="27" spans="1:11" ht="15" customHeight="1">
      <c r="A27" s="13" t="s">
        <v>49</v>
      </c>
      <c r="B27" s="13" t="s">
        <v>50</v>
      </c>
      <c r="C27" s="17"/>
      <c r="D27" s="14" t="s">
        <v>13</v>
      </c>
      <c r="E27" s="15">
        <v>0</v>
      </c>
      <c r="F27" s="16"/>
      <c r="G27" s="1"/>
      <c r="H27" s="1"/>
      <c r="I27" s="1"/>
      <c r="J27" s="1"/>
      <c r="K27" s="1"/>
    </row>
    <row r="28" spans="1:11" ht="15" customHeight="1">
      <c r="A28" s="13" t="s">
        <v>51</v>
      </c>
      <c r="B28" s="13" t="s">
        <v>52</v>
      </c>
      <c r="C28" s="43">
        <v>1</v>
      </c>
      <c r="D28" s="14" t="s">
        <v>22</v>
      </c>
      <c r="E28" s="15">
        <v>26666</v>
      </c>
      <c r="F28" s="16">
        <f t="shared" si="0"/>
        <v>26666</v>
      </c>
      <c r="G28" s="1"/>
      <c r="H28" s="1"/>
      <c r="I28" s="1"/>
      <c r="J28" s="1"/>
      <c r="K28" s="1"/>
    </row>
    <row r="29" spans="1:11" ht="15" customHeight="1">
      <c r="A29" s="12" t="s">
        <v>53</v>
      </c>
      <c r="B29" s="21" t="s">
        <v>54</v>
      </c>
      <c r="C29" s="22"/>
      <c r="D29" s="22"/>
      <c r="E29" s="22"/>
      <c r="F29" s="23"/>
      <c r="G29" s="1"/>
      <c r="H29" s="1"/>
      <c r="I29" s="1"/>
      <c r="J29" s="1"/>
      <c r="K29" s="1"/>
    </row>
    <row r="30" spans="1:11" ht="30.75" customHeight="1">
      <c r="A30" s="13" t="s">
        <v>55</v>
      </c>
      <c r="B30" s="13" t="s">
        <v>56</v>
      </c>
      <c r="C30" s="17"/>
      <c r="D30" s="14" t="s">
        <v>40</v>
      </c>
      <c r="E30" s="15">
        <v>0</v>
      </c>
      <c r="F30" s="16"/>
      <c r="G30" s="1"/>
      <c r="H30" s="1"/>
      <c r="I30" s="1"/>
      <c r="J30" s="1"/>
      <c r="K30" s="1"/>
    </row>
    <row r="31" spans="1:11" ht="15" customHeight="1">
      <c r="A31" s="13" t="s">
        <v>57</v>
      </c>
      <c r="B31" s="13" t="s">
        <v>58</v>
      </c>
      <c r="C31" s="17"/>
      <c r="D31" s="14" t="s">
        <v>13</v>
      </c>
      <c r="E31" s="15">
        <v>0</v>
      </c>
      <c r="F31" s="16"/>
      <c r="G31" s="1"/>
      <c r="H31" s="1"/>
      <c r="I31" s="1"/>
      <c r="J31" s="1"/>
      <c r="K31" s="1"/>
    </row>
    <row r="32" spans="1:11" ht="15" customHeight="1">
      <c r="A32" s="12" t="s">
        <v>59</v>
      </c>
      <c r="B32" s="21" t="s">
        <v>60</v>
      </c>
      <c r="C32" s="22"/>
      <c r="D32" s="22"/>
      <c r="E32" s="22"/>
      <c r="F32" s="23"/>
      <c r="G32" s="1"/>
      <c r="H32" s="1"/>
      <c r="I32" s="1"/>
      <c r="J32" s="1"/>
      <c r="K32" s="1"/>
    </row>
    <row r="33" spans="1:11" ht="15" customHeight="1">
      <c r="A33" s="13" t="s">
        <v>61</v>
      </c>
      <c r="B33" s="13" t="s">
        <v>62</v>
      </c>
      <c r="C33" s="43">
        <v>1</v>
      </c>
      <c r="D33" s="14" t="s">
        <v>22</v>
      </c>
      <c r="E33" s="15">
        <v>13015.275000000001</v>
      </c>
      <c r="F33" s="16">
        <f t="shared" si="0"/>
        <v>13015.28</v>
      </c>
      <c r="G33" s="1"/>
      <c r="H33" s="1"/>
      <c r="I33" s="1"/>
      <c r="J33" s="1"/>
      <c r="K33" s="1"/>
    </row>
    <row r="34" spans="1:11" ht="15" customHeight="1">
      <c r="A34" s="13" t="s">
        <v>63</v>
      </c>
      <c r="B34" s="13" t="s">
        <v>64</v>
      </c>
      <c r="C34" s="43">
        <v>1</v>
      </c>
      <c r="D34" s="14" t="s">
        <v>22</v>
      </c>
      <c r="E34" s="15">
        <v>450</v>
      </c>
      <c r="F34" s="16">
        <f t="shared" si="0"/>
        <v>450</v>
      </c>
      <c r="G34" s="1"/>
      <c r="H34" s="1"/>
      <c r="I34" s="1"/>
      <c r="J34" s="1"/>
      <c r="K34" s="1"/>
    </row>
    <row r="35" spans="1:11" ht="15" customHeight="1">
      <c r="A35" s="13" t="s">
        <v>65</v>
      </c>
      <c r="B35" s="13" t="s">
        <v>66</v>
      </c>
      <c r="C35" s="17"/>
      <c r="D35" s="14" t="s">
        <v>13</v>
      </c>
      <c r="E35" s="15">
        <v>0</v>
      </c>
      <c r="F35" s="16"/>
      <c r="G35" s="1"/>
      <c r="H35" s="1"/>
      <c r="I35" s="1"/>
      <c r="J35" s="1"/>
      <c r="K35" s="1"/>
    </row>
    <row r="36" spans="1:11" ht="15" customHeight="1">
      <c r="A36" s="9" t="s">
        <v>67</v>
      </c>
      <c r="B36" s="18" t="s">
        <v>68</v>
      </c>
      <c r="C36" s="19"/>
      <c r="D36" s="19"/>
      <c r="E36" s="19"/>
      <c r="F36" s="20"/>
      <c r="G36" s="1"/>
      <c r="H36" s="1"/>
      <c r="I36" s="1"/>
      <c r="J36" s="1"/>
      <c r="K36" s="1"/>
    </row>
    <row r="37" spans="1:11" ht="15" customHeight="1">
      <c r="A37" s="12" t="s">
        <v>69</v>
      </c>
      <c r="B37" s="10" t="s">
        <v>70</v>
      </c>
      <c r="C37" s="17"/>
      <c r="D37" s="11"/>
      <c r="E37" s="11"/>
      <c r="F37" s="16"/>
      <c r="G37" s="1"/>
      <c r="H37" s="1"/>
      <c r="I37" s="1"/>
      <c r="J37" s="1"/>
      <c r="K37" s="1"/>
    </row>
    <row r="38" spans="1:11" ht="15" customHeight="1">
      <c r="A38" s="13" t="s">
        <v>71</v>
      </c>
      <c r="B38" s="13" t="s">
        <v>72</v>
      </c>
      <c r="C38" s="43">
        <v>115.44119999999999</v>
      </c>
      <c r="D38" s="14" t="s">
        <v>1</v>
      </c>
      <c r="E38" s="15">
        <v>20.41</v>
      </c>
      <c r="F38" s="16">
        <f t="shared" si="0"/>
        <v>2356.15</v>
      </c>
      <c r="G38" s="1"/>
      <c r="H38" s="1"/>
      <c r="I38" s="1"/>
      <c r="J38" s="1"/>
      <c r="K38" s="1"/>
    </row>
    <row r="39" spans="1:11" ht="15" customHeight="1">
      <c r="A39" s="24" t="s">
        <v>73</v>
      </c>
      <c r="B39" s="18" t="s">
        <v>74</v>
      </c>
      <c r="C39" s="19"/>
      <c r="D39" s="19"/>
      <c r="E39" s="19"/>
      <c r="F39" s="20"/>
      <c r="G39" s="1"/>
      <c r="H39" s="1"/>
      <c r="I39" s="1"/>
      <c r="J39" s="1"/>
      <c r="K39" s="1"/>
    </row>
    <row r="40" spans="1:11" ht="15" customHeight="1">
      <c r="A40" s="12" t="s">
        <v>75</v>
      </c>
      <c r="B40" s="21" t="s">
        <v>76</v>
      </c>
      <c r="C40" s="22"/>
      <c r="D40" s="22"/>
      <c r="E40" s="22"/>
      <c r="F40" s="23"/>
      <c r="G40" s="1"/>
      <c r="H40" s="1"/>
      <c r="I40" s="1"/>
      <c r="J40" s="1"/>
      <c r="K40" s="1"/>
    </row>
    <row r="41" spans="1:11" ht="15" customHeight="1">
      <c r="A41" s="13" t="s">
        <v>77</v>
      </c>
      <c r="B41" s="13" t="s">
        <v>78</v>
      </c>
      <c r="C41" s="43">
        <v>106.824</v>
      </c>
      <c r="D41" s="14" t="s">
        <v>1</v>
      </c>
      <c r="E41" s="15">
        <v>46.01</v>
      </c>
      <c r="F41" s="16">
        <f t="shared" si="0"/>
        <v>4914.97</v>
      </c>
      <c r="G41" s="1"/>
      <c r="H41" s="1"/>
      <c r="I41" s="1"/>
      <c r="J41" s="1"/>
      <c r="K41" s="1"/>
    </row>
    <row r="42" spans="1:11" ht="15" customHeight="1">
      <c r="A42" s="12" t="s">
        <v>79</v>
      </c>
      <c r="B42" s="10" t="s">
        <v>80</v>
      </c>
      <c r="C42" s="17"/>
      <c r="D42" s="11"/>
      <c r="E42" s="11"/>
      <c r="F42" s="16"/>
      <c r="G42" s="1"/>
      <c r="H42" s="1"/>
      <c r="I42" s="1"/>
      <c r="J42" s="1"/>
      <c r="K42" s="1"/>
    </row>
    <row r="43" spans="1:11" ht="15" customHeight="1">
      <c r="A43" s="13" t="s">
        <v>81</v>
      </c>
      <c r="B43" s="13" t="s">
        <v>82</v>
      </c>
      <c r="C43" s="43">
        <v>97.332899999999981</v>
      </c>
      <c r="D43" s="14" t="s">
        <v>1</v>
      </c>
      <c r="E43" s="15">
        <v>46.01</v>
      </c>
      <c r="F43" s="16">
        <f t="shared" si="0"/>
        <v>4478.29</v>
      </c>
      <c r="G43" s="1"/>
      <c r="H43" s="1"/>
      <c r="I43" s="1"/>
      <c r="J43" s="1"/>
      <c r="K43" s="1"/>
    </row>
    <row r="44" spans="1:11" ht="15" customHeight="1">
      <c r="A44" s="13" t="s">
        <v>83</v>
      </c>
      <c r="B44" s="13" t="s">
        <v>84</v>
      </c>
      <c r="C44" s="43">
        <v>5.6958000000000002</v>
      </c>
      <c r="D44" s="14" t="s">
        <v>1</v>
      </c>
      <c r="E44" s="15">
        <v>46.01</v>
      </c>
      <c r="F44" s="16">
        <f t="shared" si="0"/>
        <v>262.06</v>
      </c>
      <c r="G44" s="1"/>
      <c r="H44" s="1"/>
      <c r="I44" s="1"/>
      <c r="J44" s="1"/>
      <c r="K44" s="1"/>
    </row>
    <row r="45" spans="1:11" ht="15" customHeight="1">
      <c r="A45" s="13"/>
      <c r="B45" s="13" t="s">
        <v>12</v>
      </c>
      <c r="C45" s="43">
        <v>94.411499999999975</v>
      </c>
      <c r="D45" s="14" t="s">
        <v>1</v>
      </c>
      <c r="E45" s="15">
        <v>28.62</v>
      </c>
      <c r="F45" s="16">
        <f t="shared" ref="F45" si="1">ROUND(C45*E45,2)</f>
        <v>2702.06</v>
      </c>
      <c r="G45" s="1"/>
      <c r="H45" s="1"/>
      <c r="I45" s="1"/>
      <c r="J45" s="1"/>
      <c r="K45" s="1"/>
    </row>
    <row r="46" spans="1:11" ht="15" customHeight="1">
      <c r="A46" s="9" t="s">
        <v>85</v>
      </c>
      <c r="B46" s="18" t="s">
        <v>8</v>
      </c>
      <c r="C46" s="19"/>
      <c r="D46" s="19"/>
      <c r="E46" s="19"/>
      <c r="F46" s="20"/>
      <c r="G46" s="1"/>
      <c r="H46" s="1"/>
      <c r="I46" s="1"/>
      <c r="J46" s="1"/>
      <c r="K46" s="1"/>
    </row>
    <row r="47" spans="1:11" ht="15" customHeight="1">
      <c r="A47" s="12" t="s">
        <v>86</v>
      </c>
      <c r="B47" s="21" t="s">
        <v>11</v>
      </c>
      <c r="C47" s="22"/>
      <c r="D47" s="22"/>
      <c r="E47" s="22"/>
      <c r="F47" s="23"/>
      <c r="G47" s="1"/>
      <c r="H47" s="1"/>
      <c r="I47" s="1"/>
      <c r="J47" s="1"/>
      <c r="K47" s="1"/>
    </row>
    <row r="48" spans="1:11" ht="15" customHeight="1">
      <c r="A48" s="13" t="s">
        <v>87</v>
      </c>
      <c r="B48" s="13" t="s">
        <v>88</v>
      </c>
      <c r="C48" s="43">
        <v>1.8985999999999996</v>
      </c>
      <c r="D48" s="14" t="s">
        <v>1</v>
      </c>
      <c r="E48" s="15">
        <v>199.26</v>
      </c>
      <c r="F48" s="16">
        <f t="shared" si="0"/>
        <v>378.32</v>
      </c>
      <c r="G48" s="1"/>
      <c r="H48" s="1"/>
      <c r="I48" s="1"/>
      <c r="J48" s="1"/>
      <c r="K48" s="1"/>
    </row>
    <row r="49" spans="1:11" ht="15" customHeight="1">
      <c r="A49" s="13" t="s">
        <v>89</v>
      </c>
      <c r="B49" s="13" t="s">
        <v>90</v>
      </c>
      <c r="C49" s="43">
        <v>1.0787499999999999</v>
      </c>
      <c r="D49" s="14" t="s">
        <v>1</v>
      </c>
      <c r="E49" s="15">
        <v>265.62</v>
      </c>
      <c r="F49" s="16">
        <f t="shared" si="0"/>
        <v>286.54000000000002</v>
      </c>
      <c r="G49" s="1"/>
      <c r="H49" s="1"/>
      <c r="I49" s="1"/>
      <c r="J49" s="1"/>
      <c r="K49" s="1"/>
    </row>
    <row r="50" spans="1:11" ht="15" customHeight="1">
      <c r="A50" s="13" t="s">
        <v>91</v>
      </c>
      <c r="B50" s="13" t="s">
        <v>92</v>
      </c>
      <c r="C50" s="43">
        <v>53.937499999999993</v>
      </c>
      <c r="D50" s="14" t="s">
        <v>93</v>
      </c>
      <c r="E50" s="15">
        <v>3.24</v>
      </c>
      <c r="F50" s="16">
        <f t="shared" si="0"/>
        <v>174.76</v>
      </c>
      <c r="G50" s="1"/>
      <c r="H50" s="1"/>
      <c r="I50" s="1"/>
      <c r="J50" s="1"/>
      <c r="K50" s="1"/>
    </row>
    <row r="51" spans="1:11" ht="15" customHeight="1">
      <c r="A51" s="12" t="s">
        <v>94</v>
      </c>
      <c r="B51" s="21" t="s">
        <v>95</v>
      </c>
      <c r="C51" s="22"/>
      <c r="D51" s="22"/>
      <c r="E51" s="22"/>
      <c r="F51" s="23"/>
      <c r="G51" s="1"/>
      <c r="H51" s="1"/>
      <c r="I51" s="1"/>
      <c r="J51" s="1"/>
      <c r="K51" s="1"/>
    </row>
    <row r="52" spans="1:11" ht="15" customHeight="1">
      <c r="A52" s="13" t="s">
        <v>96</v>
      </c>
      <c r="B52" s="13" t="s">
        <v>97</v>
      </c>
      <c r="C52" s="43">
        <v>35.60799999999999</v>
      </c>
      <c r="D52" s="14" t="s">
        <v>1</v>
      </c>
      <c r="E52" s="15">
        <v>199.26</v>
      </c>
      <c r="F52" s="16">
        <f t="shared" si="0"/>
        <v>7095.25</v>
      </c>
      <c r="G52" s="1"/>
      <c r="H52" s="1"/>
      <c r="I52" s="1"/>
      <c r="J52" s="1"/>
      <c r="K52" s="1"/>
    </row>
    <row r="53" spans="1:11" ht="15" customHeight="1">
      <c r="A53" s="13" t="s">
        <v>98</v>
      </c>
      <c r="B53" s="13" t="s">
        <v>90</v>
      </c>
      <c r="C53" s="43">
        <v>24.775000000000002</v>
      </c>
      <c r="D53" s="14" t="s">
        <v>1</v>
      </c>
      <c r="E53" s="15">
        <v>265.62</v>
      </c>
      <c r="F53" s="16">
        <f t="shared" si="0"/>
        <v>6580.74</v>
      </c>
      <c r="G53" s="1"/>
      <c r="H53" s="1"/>
      <c r="I53" s="1"/>
      <c r="J53" s="1"/>
      <c r="K53" s="1"/>
    </row>
    <row r="54" spans="1:11" ht="15.75" customHeight="1">
      <c r="A54" s="13" t="s">
        <v>99</v>
      </c>
      <c r="B54" s="13" t="s">
        <v>92</v>
      </c>
      <c r="C54" s="43">
        <v>1610.3750000000002</v>
      </c>
      <c r="D54" s="14" t="s">
        <v>93</v>
      </c>
      <c r="E54" s="15">
        <v>3.24</v>
      </c>
      <c r="F54" s="16">
        <f t="shared" si="0"/>
        <v>5217.62</v>
      </c>
      <c r="G54" s="1"/>
      <c r="H54" s="1"/>
      <c r="I54" s="1"/>
      <c r="J54" s="1"/>
      <c r="K54" s="1"/>
    </row>
    <row r="55" spans="1:11" ht="15" customHeight="1">
      <c r="A55" s="12" t="s">
        <v>100</v>
      </c>
      <c r="B55" s="21" t="s">
        <v>101</v>
      </c>
      <c r="C55" s="22"/>
      <c r="D55" s="22"/>
      <c r="E55" s="22"/>
      <c r="F55" s="23"/>
      <c r="G55" s="1"/>
      <c r="H55" s="1"/>
      <c r="I55" s="1"/>
      <c r="J55" s="1"/>
      <c r="K55" s="1"/>
    </row>
    <row r="56" spans="1:11" ht="15" customHeight="1">
      <c r="A56" s="13" t="s">
        <v>102</v>
      </c>
      <c r="B56" s="13" t="s">
        <v>90</v>
      </c>
      <c r="C56" s="43">
        <v>1.2150000000000001</v>
      </c>
      <c r="D56" s="14" t="s">
        <v>1</v>
      </c>
      <c r="E56" s="15">
        <v>265.62</v>
      </c>
      <c r="F56" s="16">
        <f t="shared" si="0"/>
        <v>322.73</v>
      </c>
      <c r="G56" s="1"/>
      <c r="H56" s="1"/>
      <c r="I56" s="1"/>
      <c r="J56" s="1"/>
      <c r="K56" s="1"/>
    </row>
    <row r="57" spans="1:11" ht="15" customHeight="1">
      <c r="A57" s="13" t="s">
        <v>103</v>
      </c>
      <c r="B57" s="13" t="s">
        <v>104</v>
      </c>
      <c r="C57" s="43">
        <v>10.8</v>
      </c>
      <c r="D57" s="14" t="s">
        <v>5</v>
      </c>
      <c r="E57" s="15">
        <v>62.86</v>
      </c>
      <c r="F57" s="16">
        <f t="shared" si="0"/>
        <v>678.89</v>
      </c>
      <c r="G57" s="1"/>
      <c r="H57" s="1"/>
      <c r="I57" s="1"/>
      <c r="J57" s="1"/>
      <c r="K57" s="1"/>
    </row>
    <row r="58" spans="1:11" ht="15" customHeight="1">
      <c r="A58" s="13" t="s">
        <v>105</v>
      </c>
      <c r="B58" s="13" t="s">
        <v>106</v>
      </c>
      <c r="C58" s="43">
        <v>145.80000000000001</v>
      </c>
      <c r="D58" s="14" t="s">
        <v>93</v>
      </c>
      <c r="E58" s="15">
        <v>3.24</v>
      </c>
      <c r="F58" s="16">
        <f t="shared" si="0"/>
        <v>472.39</v>
      </c>
      <c r="G58" s="1"/>
      <c r="H58" s="1"/>
      <c r="I58" s="1"/>
      <c r="J58" s="1"/>
      <c r="K58" s="1"/>
    </row>
    <row r="59" spans="1:11" ht="15" customHeight="1">
      <c r="A59" s="12" t="s">
        <v>107</v>
      </c>
      <c r="B59" s="21" t="s">
        <v>108</v>
      </c>
      <c r="C59" s="22"/>
      <c r="D59" s="22"/>
      <c r="E59" s="22"/>
      <c r="F59" s="23"/>
      <c r="G59" s="1"/>
      <c r="H59" s="1"/>
      <c r="I59" s="1"/>
      <c r="J59" s="1"/>
      <c r="K59" s="1"/>
    </row>
    <row r="60" spans="1:11" ht="15" customHeight="1">
      <c r="A60" s="13" t="s">
        <v>109</v>
      </c>
      <c r="B60" s="13" t="s">
        <v>110</v>
      </c>
      <c r="C60" s="43">
        <v>75.615000000000009</v>
      </c>
      <c r="D60" s="14" t="s">
        <v>1</v>
      </c>
      <c r="E60" s="15">
        <v>14.5</v>
      </c>
      <c r="F60" s="16">
        <f t="shared" si="0"/>
        <v>1096.42</v>
      </c>
      <c r="G60" s="1"/>
      <c r="H60" s="1"/>
      <c r="I60" s="1"/>
      <c r="J60" s="1"/>
      <c r="K60" s="1"/>
    </row>
    <row r="61" spans="1:11" ht="15" customHeight="1">
      <c r="A61" s="13" t="s">
        <v>111</v>
      </c>
      <c r="B61" s="13" t="s">
        <v>90</v>
      </c>
      <c r="C61" s="43">
        <v>25.288899999999998</v>
      </c>
      <c r="D61" s="14" t="s">
        <v>1</v>
      </c>
      <c r="E61" s="15">
        <v>265.62</v>
      </c>
      <c r="F61" s="16">
        <f t="shared" si="0"/>
        <v>6717.24</v>
      </c>
      <c r="G61" s="1"/>
      <c r="H61" s="1"/>
      <c r="I61" s="1"/>
      <c r="J61" s="1"/>
      <c r="K61" s="1"/>
    </row>
    <row r="62" spans="1:11" ht="15" customHeight="1">
      <c r="A62" s="13" t="s">
        <v>112</v>
      </c>
      <c r="B62" s="13" t="s">
        <v>104</v>
      </c>
      <c r="C62" s="43">
        <v>252.88899999999995</v>
      </c>
      <c r="D62" s="14" t="s">
        <v>5</v>
      </c>
      <c r="E62" s="15">
        <v>62.86</v>
      </c>
      <c r="F62" s="16">
        <f t="shared" si="0"/>
        <v>15896.6</v>
      </c>
      <c r="G62" s="1"/>
      <c r="H62" s="1"/>
      <c r="I62" s="1"/>
      <c r="J62" s="1"/>
      <c r="K62" s="1"/>
    </row>
    <row r="63" spans="1:11" ht="15" customHeight="1">
      <c r="A63" s="13" t="s">
        <v>113</v>
      </c>
      <c r="B63" s="13" t="s">
        <v>106</v>
      </c>
      <c r="C63" s="43">
        <v>4305</v>
      </c>
      <c r="D63" s="14" t="s">
        <v>93</v>
      </c>
      <c r="E63" s="15">
        <v>3.24</v>
      </c>
      <c r="F63" s="16">
        <f t="shared" si="0"/>
        <v>13948.2</v>
      </c>
      <c r="G63" s="1"/>
      <c r="H63" s="1"/>
      <c r="I63" s="1"/>
      <c r="J63" s="1"/>
      <c r="K63" s="1"/>
    </row>
    <row r="64" spans="1:11" ht="15" customHeight="1">
      <c r="A64" s="12" t="s">
        <v>114</v>
      </c>
      <c r="B64" s="21" t="s">
        <v>115</v>
      </c>
      <c r="C64" s="22"/>
      <c r="D64" s="22"/>
      <c r="E64" s="22"/>
      <c r="F64" s="23"/>
      <c r="G64" s="1"/>
      <c r="H64" s="1"/>
      <c r="I64" s="1"/>
      <c r="J64" s="1"/>
      <c r="K64" s="1"/>
    </row>
    <row r="65" spans="1:11" ht="15" customHeight="1">
      <c r="A65" s="13" t="s">
        <v>116</v>
      </c>
      <c r="B65" s="13" t="s">
        <v>117</v>
      </c>
      <c r="C65" s="43">
        <v>8</v>
      </c>
      <c r="D65" s="14" t="s">
        <v>0</v>
      </c>
      <c r="E65" s="15">
        <v>68.040000000000006</v>
      </c>
      <c r="F65" s="16">
        <f t="shared" si="0"/>
        <v>544.32000000000005</v>
      </c>
      <c r="G65" s="1"/>
      <c r="H65" s="1"/>
      <c r="I65" s="1"/>
      <c r="J65" s="1"/>
      <c r="K65" s="1"/>
    </row>
    <row r="66" spans="1:11" ht="15" customHeight="1">
      <c r="A66" s="9" t="s">
        <v>118</v>
      </c>
      <c r="B66" s="18" t="s">
        <v>119</v>
      </c>
      <c r="C66" s="19"/>
      <c r="D66" s="19"/>
      <c r="E66" s="19"/>
      <c r="F66" s="20"/>
      <c r="G66" s="1"/>
      <c r="H66" s="1"/>
      <c r="I66" s="1"/>
      <c r="J66" s="1"/>
      <c r="K66" s="1"/>
    </row>
    <row r="67" spans="1:11" ht="15" customHeight="1">
      <c r="A67" s="12" t="s">
        <v>120</v>
      </c>
      <c r="B67" s="21" t="s">
        <v>121</v>
      </c>
      <c r="C67" s="22"/>
      <c r="D67" s="22"/>
      <c r="E67" s="22"/>
      <c r="F67" s="23"/>
      <c r="G67" s="1"/>
      <c r="H67" s="1"/>
      <c r="I67" s="1"/>
      <c r="J67" s="1"/>
      <c r="K67" s="1"/>
    </row>
    <row r="68" spans="1:11" ht="15" customHeight="1">
      <c r="A68" s="13" t="s">
        <v>122</v>
      </c>
      <c r="B68" s="13" t="s">
        <v>123</v>
      </c>
      <c r="C68" s="43">
        <v>252.04999999999998</v>
      </c>
      <c r="D68" s="14" t="s">
        <v>3</v>
      </c>
      <c r="E68" s="15">
        <v>16.96</v>
      </c>
      <c r="F68" s="16">
        <f t="shared" si="0"/>
        <v>4274.7700000000004</v>
      </c>
      <c r="G68" s="1"/>
      <c r="H68" s="1"/>
      <c r="I68" s="1"/>
      <c r="J68" s="1"/>
      <c r="K68" s="1"/>
    </row>
    <row r="69" spans="1:11" ht="15" customHeight="1">
      <c r="A69" s="13" t="s">
        <v>124</v>
      </c>
      <c r="B69" s="13" t="s">
        <v>125</v>
      </c>
      <c r="C69" s="43">
        <v>48</v>
      </c>
      <c r="D69" s="14" t="s">
        <v>0</v>
      </c>
      <c r="E69" s="15">
        <v>31.8</v>
      </c>
      <c r="F69" s="16">
        <f t="shared" si="0"/>
        <v>1526.4</v>
      </c>
      <c r="G69" s="1"/>
      <c r="H69" s="1"/>
      <c r="I69" s="1"/>
      <c r="J69" s="1"/>
      <c r="K69" s="1"/>
    </row>
    <row r="70" spans="1:11" ht="15" customHeight="1">
      <c r="A70" s="12" t="s">
        <v>126</v>
      </c>
      <c r="B70" s="21" t="s">
        <v>127</v>
      </c>
      <c r="C70" s="22"/>
      <c r="D70" s="22"/>
      <c r="E70" s="22"/>
      <c r="F70" s="23"/>
      <c r="G70" s="1"/>
      <c r="H70" s="1"/>
      <c r="I70" s="1"/>
      <c r="J70" s="1"/>
      <c r="K70" s="1"/>
    </row>
    <row r="71" spans="1:11" ht="15" customHeight="1">
      <c r="A71" s="13" t="s">
        <v>128</v>
      </c>
      <c r="B71" s="13" t="s">
        <v>129</v>
      </c>
      <c r="C71" s="43">
        <v>86.030000000000015</v>
      </c>
      <c r="D71" s="14" t="s">
        <v>3</v>
      </c>
      <c r="E71" s="15">
        <v>65.45</v>
      </c>
      <c r="F71" s="16">
        <f t="shared" si="0"/>
        <v>5630.66</v>
      </c>
      <c r="G71" s="1"/>
      <c r="H71" s="1"/>
      <c r="I71" s="1"/>
      <c r="J71" s="1"/>
      <c r="K71" s="1"/>
    </row>
    <row r="72" spans="1:11" ht="15" customHeight="1">
      <c r="A72" s="13" t="s">
        <v>130</v>
      </c>
      <c r="B72" s="13" t="s">
        <v>131</v>
      </c>
      <c r="C72" s="43">
        <v>12</v>
      </c>
      <c r="D72" s="14" t="s">
        <v>3</v>
      </c>
      <c r="E72" s="15">
        <v>83.27</v>
      </c>
      <c r="F72" s="16">
        <f t="shared" si="0"/>
        <v>999.24</v>
      </c>
      <c r="G72" s="1"/>
      <c r="H72" s="1"/>
      <c r="I72" s="1"/>
      <c r="J72" s="1"/>
      <c r="K72" s="1"/>
    </row>
    <row r="73" spans="1:11" ht="15" customHeight="1">
      <c r="A73" s="13" t="s">
        <v>132</v>
      </c>
      <c r="B73" s="13" t="s">
        <v>133</v>
      </c>
      <c r="C73" s="43">
        <v>30</v>
      </c>
      <c r="D73" s="14" t="s">
        <v>3</v>
      </c>
      <c r="E73" s="15">
        <v>23</v>
      </c>
      <c r="F73" s="16">
        <f t="shared" si="0"/>
        <v>690</v>
      </c>
      <c r="G73" s="1"/>
      <c r="H73" s="1"/>
      <c r="I73" s="1"/>
      <c r="J73" s="1"/>
      <c r="K73" s="1"/>
    </row>
    <row r="74" spans="1:11" ht="26.25" customHeight="1">
      <c r="A74" s="13" t="s">
        <v>134</v>
      </c>
      <c r="B74" s="13" t="s">
        <v>135</v>
      </c>
      <c r="C74" s="43">
        <v>30</v>
      </c>
      <c r="D74" s="14" t="s">
        <v>3</v>
      </c>
      <c r="E74" s="15">
        <v>35.96</v>
      </c>
      <c r="F74" s="16">
        <f t="shared" si="0"/>
        <v>1078.8</v>
      </c>
      <c r="G74" s="1"/>
      <c r="H74" s="1"/>
      <c r="I74" s="1"/>
      <c r="J74" s="1"/>
      <c r="K74" s="1"/>
    </row>
    <row r="75" spans="1:11" ht="15" customHeight="1">
      <c r="A75" s="13" t="s">
        <v>136</v>
      </c>
      <c r="B75" s="13" t="s">
        <v>137</v>
      </c>
      <c r="C75" s="43">
        <v>25</v>
      </c>
      <c r="D75" s="14" t="s">
        <v>3</v>
      </c>
      <c r="E75" s="15">
        <v>19.760000000000002</v>
      </c>
      <c r="F75" s="16">
        <f t="shared" si="0"/>
        <v>494</v>
      </c>
      <c r="G75" s="1"/>
      <c r="H75" s="1"/>
      <c r="I75" s="1"/>
      <c r="J75" s="1"/>
      <c r="K75" s="1"/>
    </row>
    <row r="76" spans="1:11" ht="15" customHeight="1">
      <c r="A76" s="12" t="s">
        <v>138</v>
      </c>
      <c r="B76" s="21" t="s">
        <v>139</v>
      </c>
      <c r="C76" s="22"/>
      <c r="D76" s="22"/>
      <c r="E76" s="22"/>
      <c r="F76" s="23"/>
      <c r="G76" s="1"/>
      <c r="H76" s="1"/>
      <c r="I76" s="1"/>
      <c r="J76" s="1"/>
      <c r="K76" s="1"/>
    </row>
    <row r="77" spans="1:11" ht="28.5" customHeight="1">
      <c r="A77" s="13" t="s">
        <v>140</v>
      </c>
      <c r="B77" s="13" t="s">
        <v>141</v>
      </c>
      <c r="C77" s="43">
        <v>627</v>
      </c>
      <c r="D77" s="14" t="s">
        <v>5</v>
      </c>
      <c r="E77" s="15">
        <v>128.63999999999999</v>
      </c>
      <c r="F77" s="16">
        <f t="shared" si="0"/>
        <v>80657.279999999999</v>
      </c>
      <c r="G77" s="1"/>
      <c r="H77" s="1"/>
      <c r="I77" s="1"/>
      <c r="J77" s="1"/>
      <c r="K77" s="1"/>
    </row>
    <row r="78" spans="1:11" ht="15" customHeight="1">
      <c r="A78" s="13" t="s">
        <v>142</v>
      </c>
      <c r="B78" s="13" t="s">
        <v>143</v>
      </c>
      <c r="C78" s="43">
        <v>111.5</v>
      </c>
      <c r="D78" s="14" t="s">
        <v>3</v>
      </c>
      <c r="E78" s="15">
        <v>59.94</v>
      </c>
      <c r="F78" s="16">
        <f t="shared" si="0"/>
        <v>6683.31</v>
      </c>
      <c r="G78" s="1"/>
      <c r="H78" s="1"/>
      <c r="I78" s="1"/>
      <c r="J78" s="1"/>
      <c r="K78" s="1"/>
    </row>
    <row r="79" spans="1:11" ht="15" customHeight="1">
      <c r="A79" s="13" t="s">
        <v>144</v>
      </c>
      <c r="B79" s="13" t="s">
        <v>145</v>
      </c>
      <c r="C79" s="43">
        <v>16.8</v>
      </c>
      <c r="D79" s="14" t="s">
        <v>5</v>
      </c>
      <c r="E79" s="15">
        <v>78.41</v>
      </c>
      <c r="F79" s="16">
        <f t="shared" si="0"/>
        <v>1317.29</v>
      </c>
      <c r="G79" s="1"/>
      <c r="H79" s="1"/>
      <c r="I79" s="1"/>
      <c r="J79" s="1"/>
      <c r="K79" s="1"/>
    </row>
    <row r="80" spans="1:11" ht="15" customHeight="1">
      <c r="A80" s="13" t="s">
        <v>146</v>
      </c>
      <c r="B80" s="13" t="s">
        <v>147</v>
      </c>
      <c r="C80" s="43">
        <v>6</v>
      </c>
      <c r="D80" s="14" t="s">
        <v>0</v>
      </c>
      <c r="E80" s="15">
        <v>207.36</v>
      </c>
      <c r="F80" s="16">
        <f t="shared" si="0"/>
        <v>1244.1600000000001</v>
      </c>
      <c r="G80" s="1"/>
      <c r="H80" s="1"/>
      <c r="I80" s="1"/>
      <c r="J80" s="1"/>
      <c r="K80" s="1"/>
    </row>
    <row r="81" spans="1:11" ht="15" customHeight="1">
      <c r="A81" s="9" t="s">
        <v>148</v>
      </c>
      <c r="B81" s="18" t="s">
        <v>149</v>
      </c>
      <c r="C81" s="19"/>
      <c r="D81" s="19"/>
      <c r="E81" s="19"/>
      <c r="F81" s="20"/>
      <c r="G81" s="1"/>
      <c r="H81" s="1"/>
      <c r="I81" s="1"/>
      <c r="J81" s="1"/>
      <c r="K81" s="1"/>
    </row>
    <row r="82" spans="1:11" ht="15" customHeight="1">
      <c r="A82" s="12" t="s">
        <v>150</v>
      </c>
      <c r="B82" s="21" t="s">
        <v>7</v>
      </c>
      <c r="C82" s="22"/>
      <c r="D82" s="22"/>
      <c r="E82" s="22"/>
      <c r="F82" s="23"/>
      <c r="G82" s="1"/>
      <c r="H82" s="1"/>
      <c r="I82" s="1"/>
      <c r="J82" s="1"/>
      <c r="K82" s="1"/>
    </row>
    <row r="83" spans="1:11" ht="15" customHeight="1">
      <c r="A83" s="13" t="s">
        <v>151</v>
      </c>
      <c r="B83" s="13" t="s">
        <v>152</v>
      </c>
      <c r="C83" s="43">
        <v>13</v>
      </c>
      <c r="D83" s="14" t="s">
        <v>0</v>
      </c>
      <c r="E83" s="15">
        <v>220.32</v>
      </c>
      <c r="F83" s="16">
        <f t="shared" si="0"/>
        <v>2864.16</v>
      </c>
      <c r="G83" s="1"/>
      <c r="H83" s="1"/>
      <c r="I83" s="1"/>
      <c r="J83" s="1"/>
      <c r="K83" s="1"/>
    </row>
    <row r="84" spans="1:11" ht="15" customHeight="1">
      <c r="A84" s="9" t="s">
        <v>153</v>
      </c>
      <c r="B84" s="18" t="s">
        <v>9</v>
      </c>
      <c r="C84" s="19"/>
      <c r="D84" s="19"/>
      <c r="E84" s="19"/>
      <c r="F84" s="20"/>
      <c r="G84" s="1"/>
      <c r="H84" s="1"/>
      <c r="I84" s="1"/>
      <c r="J84" s="1"/>
      <c r="K84" s="1"/>
    </row>
    <row r="85" spans="1:11" ht="15" customHeight="1">
      <c r="A85" s="12" t="s">
        <v>154</v>
      </c>
      <c r="B85" s="21" t="s">
        <v>155</v>
      </c>
      <c r="C85" s="22"/>
      <c r="D85" s="22"/>
      <c r="E85" s="22"/>
      <c r="F85" s="23"/>
      <c r="G85" s="1"/>
      <c r="H85" s="1"/>
      <c r="I85" s="1"/>
      <c r="J85" s="1"/>
      <c r="K85" s="1"/>
    </row>
    <row r="86" spans="1:11" ht="15" customHeight="1">
      <c r="A86" s="13" t="s">
        <v>156</v>
      </c>
      <c r="B86" s="13" t="s">
        <v>90</v>
      </c>
      <c r="C86" s="43">
        <v>1.9403999999999997</v>
      </c>
      <c r="D86" s="14" t="s">
        <v>1</v>
      </c>
      <c r="E86" s="15">
        <v>265.62</v>
      </c>
      <c r="F86" s="16">
        <f t="shared" si="0"/>
        <v>515.41</v>
      </c>
      <c r="G86" s="1"/>
      <c r="H86" s="1"/>
      <c r="I86" s="1"/>
      <c r="J86" s="1"/>
      <c r="K86" s="1"/>
    </row>
    <row r="87" spans="1:11" ht="15" customHeight="1">
      <c r="A87" s="13" t="s">
        <v>157</v>
      </c>
      <c r="B87" s="13" t="s">
        <v>158</v>
      </c>
      <c r="C87" s="43">
        <v>25.871999999999996</v>
      </c>
      <c r="D87" s="14" t="s">
        <v>5</v>
      </c>
      <c r="E87" s="15">
        <v>56.7</v>
      </c>
      <c r="F87" s="16">
        <f t="shared" si="0"/>
        <v>1466.94</v>
      </c>
      <c r="G87" s="1"/>
      <c r="H87" s="1"/>
      <c r="I87" s="1"/>
      <c r="J87" s="1"/>
      <c r="K87" s="1"/>
    </row>
    <row r="88" spans="1:11" ht="15" customHeight="1">
      <c r="A88" s="13" t="s">
        <v>159</v>
      </c>
      <c r="B88" s="13" t="s">
        <v>160</v>
      </c>
      <c r="C88" s="43">
        <v>155.23199999999997</v>
      </c>
      <c r="D88" s="14" t="s">
        <v>93</v>
      </c>
      <c r="E88" s="15">
        <v>3.24</v>
      </c>
      <c r="F88" s="16">
        <f t="shared" si="0"/>
        <v>502.95</v>
      </c>
      <c r="G88" s="1"/>
      <c r="H88" s="1"/>
      <c r="I88" s="1"/>
      <c r="J88" s="1"/>
      <c r="K88" s="1"/>
    </row>
    <row r="89" spans="1:11" ht="15" customHeight="1">
      <c r="A89" s="12" t="s">
        <v>161</v>
      </c>
      <c r="B89" s="21" t="s">
        <v>162</v>
      </c>
      <c r="C89" s="22"/>
      <c r="D89" s="22"/>
      <c r="E89" s="22"/>
      <c r="F89" s="23"/>
      <c r="G89" s="1"/>
      <c r="H89" s="1"/>
      <c r="I89" s="1"/>
      <c r="J89" s="1"/>
      <c r="K89" s="1"/>
    </row>
    <row r="90" spans="1:11" ht="15" customHeight="1">
      <c r="A90" s="13" t="s">
        <v>163</v>
      </c>
      <c r="B90" s="13" t="s">
        <v>164</v>
      </c>
      <c r="C90" s="43">
        <v>0.58621916000000018</v>
      </c>
      <c r="D90" s="14" t="s">
        <v>1</v>
      </c>
      <c r="E90" s="15">
        <v>265.62</v>
      </c>
      <c r="F90" s="16">
        <f t="shared" si="0"/>
        <v>155.71</v>
      </c>
      <c r="G90" s="1"/>
      <c r="H90" s="1"/>
      <c r="I90" s="1"/>
      <c r="J90" s="1"/>
      <c r="K90" s="1"/>
    </row>
    <row r="91" spans="1:11" ht="15" customHeight="1">
      <c r="A91" s="12" t="s">
        <v>165</v>
      </c>
      <c r="B91" s="21" t="s">
        <v>166</v>
      </c>
      <c r="C91" s="22"/>
      <c r="D91" s="22"/>
      <c r="E91" s="22"/>
      <c r="F91" s="23"/>
      <c r="G91" s="1"/>
      <c r="H91" s="1"/>
      <c r="I91" s="1"/>
      <c r="J91" s="1"/>
      <c r="K91" s="1"/>
    </row>
    <row r="92" spans="1:11" ht="15" customHeight="1">
      <c r="A92" s="13" t="s">
        <v>167</v>
      </c>
      <c r="B92" s="13" t="s">
        <v>90</v>
      </c>
      <c r="C92" s="43">
        <v>6.1631999999999927</v>
      </c>
      <c r="D92" s="14" t="s">
        <v>1</v>
      </c>
      <c r="E92" s="15">
        <v>265.62</v>
      </c>
      <c r="F92" s="16">
        <f t="shared" si="0"/>
        <v>1637.07</v>
      </c>
      <c r="G92" s="1"/>
      <c r="H92" s="1"/>
      <c r="I92" s="1"/>
      <c r="J92" s="1"/>
      <c r="K92" s="1"/>
    </row>
    <row r="93" spans="1:11" ht="15" customHeight="1">
      <c r="A93" s="13" t="s">
        <v>168</v>
      </c>
      <c r="B93" s="13" t="s">
        <v>158</v>
      </c>
      <c r="C93" s="43">
        <v>92.44799999999988</v>
      </c>
      <c r="D93" s="14" t="s">
        <v>5</v>
      </c>
      <c r="E93" s="15">
        <v>61.24</v>
      </c>
      <c r="F93" s="16">
        <f t="shared" si="0"/>
        <v>5661.52</v>
      </c>
      <c r="G93" s="1"/>
      <c r="H93" s="1"/>
      <c r="I93" s="1"/>
      <c r="J93" s="1"/>
      <c r="K93" s="1"/>
    </row>
    <row r="94" spans="1:11" ht="15" customHeight="1">
      <c r="A94" s="13" t="s">
        <v>169</v>
      </c>
      <c r="B94" s="13" t="s">
        <v>170</v>
      </c>
      <c r="C94" s="43">
        <v>739.58399999999915</v>
      </c>
      <c r="D94" s="14" t="s">
        <v>2</v>
      </c>
      <c r="E94" s="15">
        <v>3.24</v>
      </c>
      <c r="F94" s="16">
        <f t="shared" si="0"/>
        <v>2396.25</v>
      </c>
      <c r="G94" s="1"/>
      <c r="H94" s="1"/>
      <c r="I94" s="1"/>
      <c r="J94" s="1"/>
      <c r="K94" s="1"/>
    </row>
    <row r="95" spans="1:11" ht="15" customHeight="1">
      <c r="A95" s="9" t="s">
        <v>171</v>
      </c>
      <c r="B95" s="18" t="s">
        <v>172</v>
      </c>
      <c r="C95" s="19"/>
      <c r="D95" s="19"/>
      <c r="E95" s="19"/>
      <c r="F95" s="20"/>
      <c r="G95" s="1"/>
      <c r="H95" s="1"/>
      <c r="I95" s="1"/>
      <c r="J95" s="1"/>
      <c r="K95" s="1"/>
    </row>
    <row r="96" spans="1:11" ht="15" customHeight="1">
      <c r="A96" s="12" t="s">
        <v>173</v>
      </c>
      <c r="B96" s="21" t="s">
        <v>174</v>
      </c>
      <c r="C96" s="22"/>
      <c r="D96" s="22"/>
      <c r="E96" s="22"/>
      <c r="F96" s="23"/>
      <c r="G96" s="1"/>
      <c r="H96" s="1"/>
      <c r="I96" s="1"/>
      <c r="J96" s="1"/>
      <c r="K96" s="1"/>
    </row>
    <row r="97" spans="1:11" ht="15" customHeight="1">
      <c r="A97" s="13" t="s">
        <v>175</v>
      </c>
      <c r="B97" s="13" t="s">
        <v>176</v>
      </c>
      <c r="C97" s="43">
        <v>112.73000000000002</v>
      </c>
      <c r="D97" s="14" t="s">
        <v>3</v>
      </c>
      <c r="E97" s="15">
        <v>13.28</v>
      </c>
      <c r="F97" s="16">
        <f t="shared" si="0"/>
        <v>1497.05</v>
      </c>
      <c r="G97" s="1"/>
      <c r="H97" s="1"/>
      <c r="I97" s="1"/>
      <c r="J97" s="1"/>
      <c r="K97" s="1"/>
    </row>
    <row r="98" spans="1:11" ht="28.5" customHeight="1">
      <c r="A98" s="12" t="s">
        <v>177</v>
      </c>
      <c r="B98" s="21" t="s">
        <v>178</v>
      </c>
      <c r="C98" s="22"/>
      <c r="D98" s="22"/>
      <c r="E98" s="22"/>
      <c r="F98" s="23"/>
      <c r="G98" s="1"/>
      <c r="H98" s="1"/>
      <c r="I98" s="1"/>
      <c r="J98" s="1"/>
      <c r="K98" s="1"/>
    </row>
    <row r="99" spans="1:11" ht="15" customHeight="1">
      <c r="A99" s="13" t="s">
        <v>179</v>
      </c>
      <c r="B99" s="13" t="s">
        <v>180</v>
      </c>
      <c r="C99" s="43">
        <v>54.974599999999995</v>
      </c>
      <c r="D99" s="14" t="s">
        <v>5</v>
      </c>
      <c r="E99" s="15">
        <v>80.349999999999994</v>
      </c>
      <c r="F99" s="16">
        <f t="shared" si="0"/>
        <v>4417.21</v>
      </c>
      <c r="G99" s="1"/>
      <c r="H99" s="1"/>
      <c r="I99" s="1"/>
      <c r="J99" s="1"/>
      <c r="K99" s="1"/>
    </row>
    <row r="100" spans="1:11" ht="15" customHeight="1">
      <c r="A100" s="13" t="s">
        <v>181</v>
      </c>
      <c r="B100" s="13" t="s">
        <v>182</v>
      </c>
      <c r="C100" s="43">
        <v>361.19130000000001</v>
      </c>
      <c r="D100" s="14" t="s">
        <v>5</v>
      </c>
      <c r="E100" s="15">
        <v>83.59</v>
      </c>
      <c r="F100" s="16">
        <f t="shared" si="0"/>
        <v>30191.98</v>
      </c>
      <c r="G100" s="1"/>
      <c r="H100" s="1"/>
      <c r="I100" s="1"/>
      <c r="J100" s="1"/>
      <c r="K100" s="1"/>
    </row>
    <row r="101" spans="1:11" ht="15" customHeight="1">
      <c r="A101" s="12" t="s">
        <v>183</v>
      </c>
      <c r="B101" s="21" t="s">
        <v>184</v>
      </c>
      <c r="C101" s="22"/>
      <c r="D101" s="22"/>
      <c r="E101" s="22"/>
      <c r="F101" s="23"/>
      <c r="G101" s="1"/>
      <c r="H101" s="1"/>
      <c r="I101" s="1"/>
      <c r="J101" s="1"/>
      <c r="K101" s="1"/>
    </row>
    <row r="102" spans="1:11" ht="15" customHeight="1">
      <c r="A102" s="13" t="s">
        <v>185</v>
      </c>
      <c r="B102" s="13" t="s">
        <v>186</v>
      </c>
      <c r="C102" s="43">
        <v>16.41</v>
      </c>
      <c r="D102" s="14" t="s">
        <v>3</v>
      </c>
      <c r="E102" s="15">
        <v>75.489999999999995</v>
      </c>
      <c r="F102" s="16">
        <f t="shared" si="0"/>
        <v>1238.79</v>
      </c>
      <c r="G102" s="1"/>
      <c r="H102" s="1"/>
      <c r="I102" s="1"/>
      <c r="J102" s="1"/>
      <c r="K102" s="1"/>
    </row>
    <row r="103" spans="1:11" ht="15" customHeight="1">
      <c r="A103" s="12" t="s">
        <v>187</v>
      </c>
      <c r="B103" s="21" t="s">
        <v>188</v>
      </c>
      <c r="C103" s="22"/>
      <c r="D103" s="22"/>
      <c r="E103" s="22"/>
      <c r="F103" s="23"/>
      <c r="G103" s="1"/>
      <c r="H103" s="1"/>
      <c r="I103" s="1"/>
      <c r="J103" s="1"/>
      <c r="K103" s="1"/>
    </row>
    <row r="104" spans="1:11" ht="15" customHeight="1">
      <c r="A104" s="13" t="s">
        <v>189</v>
      </c>
      <c r="B104" s="13" t="s">
        <v>190</v>
      </c>
      <c r="C104" s="43">
        <v>518.09199999999998</v>
      </c>
      <c r="D104" s="14" t="s">
        <v>5</v>
      </c>
      <c r="E104" s="15">
        <v>33.92</v>
      </c>
      <c r="F104" s="16">
        <f t="shared" si="0"/>
        <v>17573.68</v>
      </c>
      <c r="G104" s="1"/>
      <c r="H104" s="1"/>
      <c r="I104" s="1"/>
      <c r="J104" s="1"/>
      <c r="K104" s="1"/>
    </row>
    <row r="105" spans="1:11" ht="15" customHeight="1" thickBot="1">
      <c r="A105" s="5"/>
      <c r="B105" s="6" t="s">
        <v>191</v>
      </c>
      <c r="C105" s="47"/>
      <c r="D105" s="5"/>
      <c r="E105" s="5"/>
      <c r="F105" s="7"/>
      <c r="G105" s="1"/>
      <c r="H105" s="1"/>
      <c r="I105" s="1"/>
      <c r="J105" s="1"/>
      <c r="K105" s="1"/>
    </row>
    <row r="106" spans="1:11" ht="15.75" customHeight="1">
      <c r="A106" s="53"/>
      <c r="B106" s="54" t="s">
        <v>204</v>
      </c>
      <c r="C106" s="55"/>
      <c r="D106" s="56"/>
      <c r="E106" s="56"/>
      <c r="F106" s="64">
        <f>SUM(F13:F104)</f>
        <v>351899.99999999994</v>
      </c>
      <c r="G106" s="1"/>
      <c r="H106" s="1"/>
      <c r="I106" s="1"/>
      <c r="J106" s="1"/>
      <c r="K106" s="1"/>
    </row>
    <row r="107" spans="1:11" ht="15.75" customHeight="1">
      <c r="A107" s="57"/>
      <c r="B107" s="52" t="s">
        <v>203</v>
      </c>
      <c r="C107" s="51"/>
      <c r="D107" s="50"/>
      <c r="E107" s="50"/>
      <c r="F107" s="58">
        <f>2%*F106</f>
        <v>7037.9999999999991</v>
      </c>
      <c r="G107" s="1"/>
      <c r="H107" s="1"/>
      <c r="I107" s="1"/>
      <c r="J107" s="1"/>
      <c r="K107" s="1"/>
    </row>
    <row r="108" spans="1:11" ht="15.75" customHeight="1">
      <c r="A108" s="57"/>
      <c r="B108" s="52" t="s">
        <v>205</v>
      </c>
      <c r="C108" s="51"/>
      <c r="D108" s="50"/>
      <c r="E108" s="50"/>
      <c r="F108" s="58">
        <f>F106+F107</f>
        <v>358937.99999999994</v>
      </c>
      <c r="G108" s="1"/>
      <c r="H108" s="1"/>
      <c r="I108" s="1"/>
      <c r="J108" s="1"/>
      <c r="K108" s="1"/>
    </row>
    <row r="109" spans="1:11" ht="15.75" customHeight="1">
      <c r="A109" s="57"/>
      <c r="B109" s="52" t="s">
        <v>202</v>
      </c>
      <c r="C109" s="51"/>
      <c r="D109" s="50"/>
      <c r="E109" s="50"/>
      <c r="F109" s="58">
        <f>F108*20%</f>
        <v>71787.599999999991</v>
      </c>
      <c r="G109" s="1"/>
      <c r="H109" s="1"/>
      <c r="I109" s="1"/>
      <c r="J109" s="1"/>
      <c r="K109" s="1"/>
    </row>
    <row r="110" spans="1:11" ht="15.75" customHeight="1" thickBot="1">
      <c r="A110" s="59"/>
      <c r="B110" s="60" t="s">
        <v>192</v>
      </c>
      <c r="C110" s="61"/>
      <c r="D110" s="62"/>
      <c r="E110" s="62"/>
      <c r="F110" s="63">
        <f>F108*1.2</f>
        <v>430725.59999999992</v>
      </c>
      <c r="G110" s="1"/>
      <c r="H110" s="1"/>
      <c r="I110" s="1"/>
      <c r="J110" s="1"/>
      <c r="K110" s="1"/>
    </row>
    <row r="111" spans="1:11" ht="15" customHeight="1">
      <c r="A111" s="1"/>
      <c r="B111" s="1"/>
      <c r="C111" s="4"/>
      <c r="D111" s="1"/>
      <c r="E111" s="1"/>
      <c r="F111" s="1"/>
      <c r="G111" s="1"/>
      <c r="H111" s="1"/>
      <c r="I111" s="1"/>
      <c r="J111" s="1"/>
      <c r="K111" s="1"/>
    </row>
    <row r="112" spans="1:11" ht="15" customHeight="1">
      <c r="A112" s="1" t="s">
        <v>4</v>
      </c>
      <c r="B112" s="1"/>
      <c r="C112" s="4"/>
      <c r="D112" s="1"/>
      <c r="E112" s="1"/>
      <c r="F112" s="1"/>
      <c r="G112" s="1"/>
      <c r="H112" s="1"/>
      <c r="I112" s="1"/>
      <c r="J112" s="1"/>
      <c r="K112" s="1"/>
    </row>
    <row r="113" spans="1:11" ht="15" customHeight="1">
      <c r="A113" s="1"/>
      <c r="B113" s="1"/>
      <c r="C113" s="4"/>
      <c r="D113" s="1"/>
      <c r="E113" s="1"/>
      <c r="F113" s="1"/>
      <c r="G113" s="1"/>
      <c r="H113" s="1"/>
      <c r="I113" s="1"/>
      <c r="J113" s="1"/>
      <c r="K113" s="1"/>
    </row>
  </sheetData>
  <mergeCells count="35">
    <mergeCell ref="B101:F101"/>
    <mergeCell ref="B103:F103"/>
    <mergeCell ref="E4:F4"/>
    <mergeCell ref="B85:F85"/>
    <mergeCell ref="B89:F89"/>
    <mergeCell ref="B91:F91"/>
    <mergeCell ref="B95:F95"/>
    <mergeCell ref="B96:F96"/>
    <mergeCell ref="B98:F98"/>
    <mergeCell ref="B40:F40"/>
    <mergeCell ref="B47:F47"/>
    <mergeCell ref="B51:F51"/>
    <mergeCell ref="B59:F59"/>
    <mergeCell ref="B55:F55"/>
    <mergeCell ref="B64:F64"/>
    <mergeCell ref="B39:F39"/>
    <mergeCell ref="B11:F11"/>
    <mergeCell ref="E2:F2"/>
    <mergeCell ref="E3:F3"/>
    <mergeCell ref="B12:F12"/>
    <mergeCell ref="B23:F23"/>
    <mergeCell ref="B29:F29"/>
    <mergeCell ref="B32:F32"/>
    <mergeCell ref="B36:F36"/>
    <mergeCell ref="B84:F84"/>
    <mergeCell ref="B81:F81"/>
    <mergeCell ref="B76:F76"/>
    <mergeCell ref="B70:F70"/>
    <mergeCell ref="B66:F66"/>
    <mergeCell ref="B46:F46"/>
    <mergeCell ref="B67:F67"/>
    <mergeCell ref="B82:F82"/>
    <mergeCell ref="A8:F8"/>
    <mergeCell ref="A7:F7"/>
    <mergeCell ref="A6:F6"/>
  </mergeCells>
  <pageMargins left="0" right="0" top="0" bottom="0" header="0" footer="0"/>
  <pageSetup scale="92" fitToHeight="0" pageOrder="overThenDown" orientation="portrait" r:id="rId1"/>
  <headerFooter>
    <oddHeader>&amp;L&amp;C&amp;R</oddHeader>
    <oddFooter>&amp;L&amp;C&amp;R</oddFooter>
    <evenHeader>&amp;L&amp;C&amp;R</evenHeader>
    <evenFooter>&amp;L&amp;C&amp;R</even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466</vt:i4>
      </vt:variant>
    </vt:vector>
  </HeadingPairs>
  <TitlesOfParts>
    <vt:vector size="467" baseType="lpstr">
      <vt:lpstr>DPGF</vt:lpstr>
      <vt:lpstr>CODE_002C3F5FF7C3E240B1C1208270C61B9D</vt:lpstr>
      <vt:lpstr>CODE_0042D5ABF2FD704CA018F7F2E851E7A5</vt:lpstr>
      <vt:lpstr>CODE_004F9DC109DBD6408D975C6C0EC4FD0C</vt:lpstr>
      <vt:lpstr>CODE_087C7EE507252E4F8BD45A8806FDED9A</vt:lpstr>
      <vt:lpstr>CODE_0881825AEDD5DD47864E6C799648FF37</vt:lpstr>
      <vt:lpstr>CODE_0B16F0AB18DA4E4E9990DDF956444384</vt:lpstr>
      <vt:lpstr>CODE_0CC4199427A2E2469152257A82CC2DAC</vt:lpstr>
      <vt:lpstr>CODE_124472292ABC0E4FA14BE8C43AF1A6E1</vt:lpstr>
      <vt:lpstr>CODE_124F9B3DB0E8584389CE99067F584836</vt:lpstr>
      <vt:lpstr>CODE_1852A9D179075F4989A7EC907612824D</vt:lpstr>
      <vt:lpstr>CODE_1A753459AEA5BA438F656D9CBE9BC3D1</vt:lpstr>
      <vt:lpstr>CODE_1C43AB326C8E8548BCDCCB5C36A3D726</vt:lpstr>
      <vt:lpstr>CODE_200CB7CB860ADC4E8BD4C74E78E0E9B5</vt:lpstr>
      <vt:lpstr>CODE_23E5DC04DA5E8545A0C140F3446B53D7</vt:lpstr>
      <vt:lpstr>CODE_248E33850274454BB5987D07C901C088</vt:lpstr>
      <vt:lpstr>CODE_29466FD90C9918439FCE9574D2F07872</vt:lpstr>
      <vt:lpstr>CODE_2A2AC132464ABF41BAED11951A86E23C</vt:lpstr>
      <vt:lpstr>CODE_2CA4867206C9074A980DB5CC1B68E096</vt:lpstr>
      <vt:lpstr>CODE_2E1C084FFABB8C41BD373B70019C076E</vt:lpstr>
      <vt:lpstr>CODE_2FB78EC8FD38464A801032590A64E7EB</vt:lpstr>
      <vt:lpstr>CODE_322535B1B13A8347AF6193E656A4D41A</vt:lpstr>
      <vt:lpstr>CODE_3673F106327FF1488243E6A7EE2CF665</vt:lpstr>
      <vt:lpstr>CODE_36748D7FA4E82C47AB34DAA2AE47B567</vt:lpstr>
      <vt:lpstr>CODE_3B864E1442380140BAFBBC2682C26468</vt:lpstr>
      <vt:lpstr>CODE_42B7833FF03A5841AEC778CF2677A481</vt:lpstr>
      <vt:lpstr>CODE_434153E06F4CE346A339B7D70E1BCD36</vt:lpstr>
      <vt:lpstr>CODE_4486F64D97665948ABC256303FD5BC72</vt:lpstr>
      <vt:lpstr>CODE_4565B0D237DA2F489A23C92D6ABD9137</vt:lpstr>
      <vt:lpstr>CODE_46E6A676ED2D6344B20356E0D87A14B1</vt:lpstr>
      <vt:lpstr>CODE_482BD897C9E1214ABAC390FD587DE4FF</vt:lpstr>
      <vt:lpstr>CODE_49C7A8D3A1A54740A2D6065EAC023169</vt:lpstr>
      <vt:lpstr>CODE_4B283B0939D7094A82FD203080325F47</vt:lpstr>
      <vt:lpstr>CODE_4EFA71F5CF773E4F9634CB2CDD38ED32</vt:lpstr>
      <vt:lpstr>CODE_5169D268BEBF504B95890BA1AE707FBB</vt:lpstr>
      <vt:lpstr>CODE_56E60BC1A721A441AE6A389E380010C9</vt:lpstr>
      <vt:lpstr>CODE_5703458808556F4296B8657815E04060</vt:lpstr>
      <vt:lpstr>CODE_576FFE175D828342ACEB91F792CC5551</vt:lpstr>
      <vt:lpstr>CODE_60B5CA90A9FC894EA470492890C9B48D</vt:lpstr>
      <vt:lpstr>CODE_6243A67A163FD644B51392D24CFC5801</vt:lpstr>
      <vt:lpstr>CODE_62EFAEB8660F1E4DA4FC9AC114B1A39A</vt:lpstr>
      <vt:lpstr>CODE_650F5C1F3391F9489B23F2154D4E9DD2</vt:lpstr>
      <vt:lpstr>CODE_65A2DE22CD8AC54D938D84CC0DD45F08</vt:lpstr>
      <vt:lpstr>CODE_666563DC79E4C64AAA0C043620D3D7E1</vt:lpstr>
      <vt:lpstr>CODE_695FFA905C9376408A1D1282EE1A5781</vt:lpstr>
      <vt:lpstr>CODE_707372DD85BC944EB18C8A179463C4C5</vt:lpstr>
      <vt:lpstr>CODE_758BC7E7DDD6D8408D282DE7AA0D6292</vt:lpstr>
      <vt:lpstr>CODE_7657335925D3DB47846FF3FEA6A27CB1</vt:lpstr>
      <vt:lpstr>CODE_789894BB61BA8D49A080301B1CDA601E</vt:lpstr>
      <vt:lpstr>CODE_79441771764B8D478EF2A9D32F7B917A</vt:lpstr>
      <vt:lpstr>CODE_7DC06580A1D0184E9F385C3C5CD7404E</vt:lpstr>
      <vt:lpstr>CODE_7F3AF47719EDFF4A815413B23377E394</vt:lpstr>
      <vt:lpstr>CODE_7F8D18958455BE498257112751BD136E</vt:lpstr>
      <vt:lpstr>CODE_8164CDBB8883CA428BB6CEDC47ED92C1</vt:lpstr>
      <vt:lpstr>CODE_81EF6DE6239F3148947BEF1D516AA7A6</vt:lpstr>
      <vt:lpstr>CODE_82BA7F2F2BF2E5488A076FC25027E765</vt:lpstr>
      <vt:lpstr>CODE_83E00C98B46C5840960D39BE0B93CA5F</vt:lpstr>
      <vt:lpstr>CODE_8595969957196443B1464934A16A1A57</vt:lpstr>
      <vt:lpstr>CODE_862B77479B25384F9F77E5B46B39EF89</vt:lpstr>
      <vt:lpstr>CODE_89FB1987A84EF948A1803FAB2370102A</vt:lpstr>
      <vt:lpstr>CODE_8A77B69BADFF41488631F5DB1BA13B54</vt:lpstr>
      <vt:lpstr>CODE_8CC372887E837F49A827FD1131437708</vt:lpstr>
      <vt:lpstr>CODE_937AA782D759B6498A1F8E8041956E9C</vt:lpstr>
      <vt:lpstr>CODE_948645338E73E64EB3C90C8F090FE63E</vt:lpstr>
      <vt:lpstr>CODE_94990FEDF2AD6A429B1DA6A29DA70FFA</vt:lpstr>
      <vt:lpstr>CODE_971ED7F55BCBAE4CBC4935820474DD68</vt:lpstr>
      <vt:lpstr>CODE_9B7A640DF8D4DB4C8E18E0635243A9D7</vt:lpstr>
      <vt:lpstr>CODE_A8C6B9AEB5C93247AFD3A8AE0BBDB36C</vt:lpstr>
      <vt:lpstr>CODE_A8FCDBD5CFEAFA4F9734154E37FB6391</vt:lpstr>
      <vt:lpstr>CODE_ADF2995D0A121F4FA9964E4F19E4E4B5</vt:lpstr>
      <vt:lpstr>CODE_AFF1C8B8B19A1448A9E967C3EAFE0253</vt:lpstr>
      <vt:lpstr>CODE_B3695545C320F84A8BB1A8E102D8BCD1</vt:lpstr>
      <vt:lpstr>CODE_B5391CA31166ED448AF321F55A8E13ED</vt:lpstr>
      <vt:lpstr>CODE_B88B5034B2C5EE4591380B6DD20CB1DF</vt:lpstr>
      <vt:lpstr>CODE_BCD62E7B50914D4D8B2A3CAF3BD0D866</vt:lpstr>
      <vt:lpstr>CODE_BF10F927125E17418C6A8BD0BEF12E30</vt:lpstr>
      <vt:lpstr>CODE_C1C97AB1BE4F4C4092696F3E3B87C07C</vt:lpstr>
      <vt:lpstr>CODE_C29C14647EA7F24099D3D08CD03AD193</vt:lpstr>
      <vt:lpstr>CODE_C6A293681DB4A143B216C150BBE73A24</vt:lpstr>
      <vt:lpstr>CODE_CA96FCA66BAE9248B17892AE63EB9DEF</vt:lpstr>
      <vt:lpstr>CODE_CC8A04E50A2DC640961B82D224700CE5</vt:lpstr>
      <vt:lpstr>CODE_D4968B6089541F44BF61681BF12EB86E</vt:lpstr>
      <vt:lpstr>CODE_DBF36E3C3AA4AD49B7185C16CFE850C2</vt:lpstr>
      <vt:lpstr>CODE_E4BC96CDFF07084D818E996D9BC528E4</vt:lpstr>
      <vt:lpstr>CODE_E4DE771186151E4BBB68DB4BB36BB53F</vt:lpstr>
      <vt:lpstr>CODE_E7F41FE139056D49A1AB3B8BD5870994</vt:lpstr>
      <vt:lpstr>CODE_E84FB55985F080499E020DCD8A1EA693</vt:lpstr>
      <vt:lpstr>CODE_EC7EB30037C8FA439A28D58D1399C970</vt:lpstr>
      <vt:lpstr>CODE_EC9A749DBCA44544834F0ADA608BC96A</vt:lpstr>
      <vt:lpstr>CODE_EF128B28B17DA149B3DD8E45C676C081</vt:lpstr>
      <vt:lpstr>CODE_F29C705FF768834983086FDCF6A6AA53</vt:lpstr>
      <vt:lpstr>CODE_F74ED06EB9C57A48B7E883A3BD524B62</vt:lpstr>
      <vt:lpstr>CODE_F9E72DB6DE14244CB1731CA06B3E44E5</vt:lpstr>
      <vt:lpstr>CODE_FFF842A5D476E147A46759B985A7D837</vt:lpstr>
      <vt:lpstr>DESI_002C3F5FF7C3E240B1C1208270C61B9D_\AR</vt:lpstr>
      <vt:lpstr>DESI_0042D5ABF2FD704CA018F7F2E851E7A5_\AR</vt:lpstr>
      <vt:lpstr>DESI_004F9DC109DBD6408D975C6C0EC4FD0C_\AR</vt:lpstr>
      <vt:lpstr>DESI_087C7EE507252E4F8BD45A8806FDED9A_\AR</vt:lpstr>
      <vt:lpstr>DESI_0881825AEDD5DD47864E6C799648FF37_\AR</vt:lpstr>
      <vt:lpstr>DESI_0B16F0AB18DA4E4E9990DDF956444384_\AR</vt:lpstr>
      <vt:lpstr>DESI_0CC4199427A2E2469152257A82CC2DAC_\AR</vt:lpstr>
      <vt:lpstr>DESI_124472292ABC0E4FA14BE8C43AF1A6E1_\AR</vt:lpstr>
      <vt:lpstr>DESI_124F9B3DB0E8584389CE99067F584836_\AR</vt:lpstr>
      <vt:lpstr>DESI_1852A9D179075F4989A7EC907612824D_\AR</vt:lpstr>
      <vt:lpstr>DESI_1A753459AEA5BA438F656D9CBE9BC3D1_\AR</vt:lpstr>
      <vt:lpstr>DESI_1C43AB326C8E8548BCDCCB5C36A3D726_\AR</vt:lpstr>
      <vt:lpstr>DESI_200CB7CB860ADC4E8BD4C74E78E0E9B5_\AR</vt:lpstr>
      <vt:lpstr>DESI_23E5DC04DA5E8545A0C140F3446B53D7_\AR</vt:lpstr>
      <vt:lpstr>DESI_248E33850274454BB5987D07C901C088_\AR</vt:lpstr>
      <vt:lpstr>DESI_29466FD90C9918439FCE9574D2F07872_\AR</vt:lpstr>
      <vt:lpstr>DESI_2A2AC132464ABF41BAED11951A86E23C_\AR</vt:lpstr>
      <vt:lpstr>DESI_2CA4867206C9074A980DB5CC1B68E096_\AR</vt:lpstr>
      <vt:lpstr>DESI_2E1C084FFABB8C41BD373B70019C076E_\AR</vt:lpstr>
      <vt:lpstr>DESI_2FB78EC8FD38464A801032590A64E7EB_\AR</vt:lpstr>
      <vt:lpstr>DESI_322535B1B13A8347AF6193E656A4D41A_\AR</vt:lpstr>
      <vt:lpstr>DESI_3673F106327FF1488243E6A7EE2CF665_\AR</vt:lpstr>
      <vt:lpstr>DESI_36748D7FA4E82C47AB34DAA2AE47B567_\AR</vt:lpstr>
      <vt:lpstr>DESI_3B864E1442380140BAFBBC2682C26468_\AR</vt:lpstr>
      <vt:lpstr>DESI_42B7833FF03A5841AEC778CF2677A481_\AR</vt:lpstr>
      <vt:lpstr>DESI_434153E06F4CE346A339B7D70E1BCD36_\AR</vt:lpstr>
      <vt:lpstr>DESI_4486F64D97665948ABC256303FD5BC72_\AR</vt:lpstr>
      <vt:lpstr>DESI_4565B0D237DA2F489A23C92D6ABD9137_\AR</vt:lpstr>
      <vt:lpstr>DESI_46E6A676ED2D6344B20356E0D87A14B1_\AR</vt:lpstr>
      <vt:lpstr>DESI_482BD897C9E1214ABAC390FD587DE4FF_\AR</vt:lpstr>
      <vt:lpstr>DESI_49C7A8D3A1A54740A2D6065EAC023169_\AR</vt:lpstr>
      <vt:lpstr>DESI_4B283B0939D7094A82FD203080325F47_\AR</vt:lpstr>
      <vt:lpstr>DESI_4EFA71F5CF773E4F9634CB2CDD38ED32_\AR</vt:lpstr>
      <vt:lpstr>DESI_5169D268BEBF504B95890BA1AE707FBB_\AR</vt:lpstr>
      <vt:lpstr>DESI_56E60BC1A721A441AE6A389E380010C9_\AR</vt:lpstr>
      <vt:lpstr>DESI_5703458808556F4296B8657815E04060_\AR</vt:lpstr>
      <vt:lpstr>DESI_576FFE175D828342ACEB91F792CC5551_\AR</vt:lpstr>
      <vt:lpstr>DESI_60B5CA90A9FC894EA470492890C9B48D_\AR</vt:lpstr>
      <vt:lpstr>DESI_6243A67A163FD644B51392D24CFC5801_\AR</vt:lpstr>
      <vt:lpstr>DESI_62EFAEB8660F1E4DA4FC9AC114B1A39A_\AR</vt:lpstr>
      <vt:lpstr>DESI_650F5C1F3391F9489B23F2154D4E9DD2_\AR</vt:lpstr>
      <vt:lpstr>DESI_65A2DE22CD8AC54D938D84CC0DD45F08_\AR</vt:lpstr>
      <vt:lpstr>DESI_666563DC79E4C64AAA0C043620D3D7E1_\AR</vt:lpstr>
      <vt:lpstr>DESI_695FFA905C9376408A1D1282EE1A5781_\AR</vt:lpstr>
      <vt:lpstr>DESI_707372DD85BC944EB18C8A179463C4C5_\AR</vt:lpstr>
      <vt:lpstr>DESI_758BC7E7DDD6D8408D282DE7AA0D6292_\AR</vt:lpstr>
      <vt:lpstr>DESI_7657335925D3DB47846FF3FEA6A27CB1_\AR</vt:lpstr>
      <vt:lpstr>DESI_789894BB61BA8D49A080301B1CDA601E_\AR</vt:lpstr>
      <vt:lpstr>DESI_79441771764B8D478EF2A9D32F7B917A_\AR</vt:lpstr>
      <vt:lpstr>DESI_7DC06580A1D0184E9F385C3C5CD7404E_\AR</vt:lpstr>
      <vt:lpstr>DESI_7F3AF47719EDFF4A815413B23377E394_\AR</vt:lpstr>
      <vt:lpstr>DESI_7F8D18958455BE498257112751BD136E_\AR</vt:lpstr>
      <vt:lpstr>DESI_8164CDBB8883CA428BB6CEDC47ED92C1_\AR</vt:lpstr>
      <vt:lpstr>DESI_81EF6DE6239F3148947BEF1D516AA7A6_\AR</vt:lpstr>
      <vt:lpstr>DESI_82BA7F2F2BF2E5488A076FC25027E765_\AR</vt:lpstr>
      <vt:lpstr>DESI_83E00C98B46C5840960D39BE0B93CA5F_\AR</vt:lpstr>
      <vt:lpstr>DESI_8595969957196443B1464934A16A1A57_\AR</vt:lpstr>
      <vt:lpstr>DESI_862B77479B25384F9F77E5B46B39EF89_\AR</vt:lpstr>
      <vt:lpstr>DESI_89FB1987A84EF948A1803FAB2370102A_\AR</vt:lpstr>
      <vt:lpstr>DESI_8A77B69BADFF41488631F5DB1BA13B54_\AR</vt:lpstr>
      <vt:lpstr>DESI_8CC372887E837F49A827FD1131437708_\AR</vt:lpstr>
      <vt:lpstr>DESI_937AA782D759B6498A1F8E8041956E9C_\AR</vt:lpstr>
      <vt:lpstr>DESI_948645338E73E64EB3C90C8F090FE63E_\AR</vt:lpstr>
      <vt:lpstr>DESI_94990FEDF2AD6A429B1DA6A29DA70FFA_\AR</vt:lpstr>
      <vt:lpstr>DESI_971ED7F55BCBAE4CBC4935820474DD68_\AR</vt:lpstr>
      <vt:lpstr>DESI_9B7A640DF8D4DB4C8E18E0635243A9D7_\AR</vt:lpstr>
      <vt:lpstr>DESI_A8C6B9AEB5C93247AFD3A8AE0BBDB36C_\AR</vt:lpstr>
      <vt:lpstr>DESI_A8FCDBD5CFEAFA4F9734154E37FB6391_\AR</vt:lpstr>
      <vt:lpstr>DESI_ADF2995D0A121F4FA9964E4F19E4E4B5_\AR</vt:lpstr>
      <vt:lpstr>DESI_AFF1C8B8B19A1448A9E967C3EAFE0253_\AR</vt:lpstr>
      <vt:lpstr>DESI_B3695545C320F84A8BB1A8E102D8BCD1_\AR</vt:lpstr>
      <vt:lpstr>DESI_B5391CA31166ED448AF321F55A8E13ED_\AR</vt:lpstr>
      <vt:lpstr>DESI_B88B5034B2C5EE4591380B6DD20CB1DF_\AR</vt:lpstr>
      <vt:lpstr>DESI_BCD62E7B50914D4D8B2A3CAF3BD0D866_\AR</vt:lpstr>
      <vt:lpstr>DESI_BF10F927125E17418C6A8BD0BEF12E30_\AR</vt:lpstr>
      <vt:lpstr>DESI_C1C97AB1BE4F4C4092696F3E3B87C07C_\AR</vt:lpstr>
      <vt:lpstr>DESI_C29C14647EA7F24099D3D08CD03AD193_\AR</vt:lpstr>
      <vt:lpstr>DESI_C6A293681DB4A143B216C150BBE73A24_\AR</vt:lpstr>
      <vt:lpstr>DESI_CA96FCA66BAE9248B17892AE63EB9DEF_\AR</vt:lpstr>
      <vt:lpstr>DESI_CC8A04E50A2DC640961B82D224700CE5_\AR</vt:lpstr>
      <vt:lpstr>DESI_D4968B6089541F44BF61681BF12EB86E_\AR</vt:lpstr>
      <vt:lpstr>DESI_DBF36E3C3AA4AD49B7185C16CFE850C2_\AR</vt:lpstr>
      <vt:lpstr>DESI_E4BC96CDFF07084D818E996D9BC528E4_\AR</vt:lpstr>
      <vt:lpstr>DESI_E4DE771186151E4BBB68DB4BB36BB53F_\AR</vt:lpstr>
      <vt:lpstr>DESI_E7F41FE139056D49A1AB3B8BD5870994_\AR</vt:lpstr>
      <vt:lpstr>DESI_E84FB55985F080499E020DCD8A1EA693_\AR</vt:lpstr>
      <vt:lpstr>DESI_EC7EB30037C8FA439A28D58D1399C970_\AR</vt:lpstr>
      <vt:lpstr>DESI_EC9A749DBCA44544834F0ADA608BC96A_\AR</vt:lpstr>
      <vt:lpstr>DESI_EF128B28B17DA149B3DD8E45C676C081_\AR</vt:lpstr>
      <vt:lpstr>DESI_F29C705FF768834983086FDCF6A6AA53_\AR</vt:lpstr>
      <vt:lpstr>DESI_F74ED06EB9C57A48B7E883A3BD524B62_\AR</vt:lpstr>
      <vt:lpstr>DESI_F9E72DB6DE14244CB1731CA06B3E44E5_\AR</vt:lpstr>
      <vt:lpstr>DESI_FFF842A5D476E147A46759B985A7D837_\AR</vt:lpstr>
      <vt:lpstr>PU_002C3F5FF7C3E240B1C1208270C61B9D</vt:lpstr>
      <vt:lpstr>PU_0042D5ABF2FD704CA018F7F2E851E7A5</vt:lpstr>
      <vt:lpstr>PU_004F9DC109DBD6408D975C6C0EC4FD0C</vt:lpstr>
      <vt:lpstr>PU_087C7EE507252E4F8BD45A8806FDED9A</vt:lpstr>
      <vt:lpstr>PU_0881825AEDD5DD47864E6C799648FF37</vt:lpstr>
      <vt:lpstr>PU_0B16F0AB18DA4E4E9990DDF956444384</vt:lpstr>
      <vt:lpstr>PU_0CC4199427A2E2469152257A82CC2DAC</vt:lpstr>
      <vt:lpstr>PU_124472292ABC0E4FA14BE8C43AF1A6E1</vt:lpstr>
      <vt:lpstr>PU_124F9B3DB0E8584389CE99067F584836</vt:lpstr>
      <vt:lpstr>PU_1852A9D179075F4989A7EC907612824D</vt:lpstr>
      <vt:lpstr>PU_1A753459AEA5BA438F656D9CBE9BC3D1</vt:lpstr>
      <vt:lpstr>PU_1C43AB326C8E8548BCDCCB5C36A3D726</vt:lpstr>
      <vt:lpstr>PU_200CB7CB860ADC4E8BD4C74E78E0E9B5</vt:lpstr>
      <vt:lpstr>PU_23E5DC04DA5E8545A0C140F3446B53D7</vt:lpstr>
      <vt:lpstr>PU_248E33850274454BB5987D07C901C088</vt:lpstr>
      <vt:lpstr>PU_29466FD90C9918439FCE9574D2F07872</vt:lpstr>
      <vt:lpstr>PU_2A2AC132464ABF41BAED11951A86E23C</vt:lpstr>
      <vt:lpstr>PU_2CA4867206C9074A980DB5CC1B68E096</vt:lpstr>
      <vt:lpstr>PU_2E1C084FFABB8C41BD373B70019C076E</vt:lpstr>
      <vt:lpstr>PU_2FB78EC8FD38464A801032590A64E7EB</vt:lpstr>
      <vt:lpstr>PU_322535B1B13A8347AF6193E656A4D41A</vt:lpstr>
      <vt:lpstr>PU_3673F106327FF1488243E6A7EE2CF665</vt:lpstr>
      <vt:lpstr>PU_36748D7FA4E82C47AB34DAA2AE47B567</vt:lpstr>
      <vt:lpstr>PU_3B864E1442380140BAFBBC2682C26468</vt:lpstr>
      <vt:lpstr>PU_42B7833FF03A5841AEC778CF2677A481</vt:lpstr>
      <vt:lpstr>PU_434153E06F4CE346A339B7D70E1BCD36</vt:lpstr>
      <vt:lpstr>PU_4486F64D97665948ABC256303FD5BC72</vt:lpstr>
      <vt:lpstr>PU_4565B0D237DA2F489A23C92D6ABD9137</vt:lpstr>
      <vt:lpstr>PU_46E6A676ED2D6344B20356E0D87A14B1</vt:lpstr>
      <vt:lpstr>PU_482BD897C9E1214ABAC390FD587DE4FF</vt:lpstr>
      <vt:lpstr>PU_49C7A8D3A1A54740A2D6065EAC023169</vt:lpstr>
      <vt:lpstr>PU_4B283B0939D7094A82FD203080325F47</vt:lpstr>
      <vt:lpstr>PU_4EFA71F5CF773E4F9634CB2CDD38ED32</vt:lpstr>
      <vt:lpstr>PU_5169D268BEBF504B95890BA1AE707FBB</vt:lpstr>
      <vt:lpstr>PU_56E60BC1A721A441AE6A389E380010C9</vt:lpstr>
      <vt:lpstr>PU_5703458808556F4296B8657815E04060</vt:lpstr>
      <vt:lpstr>PU_576FFE175D828342ACEB91F792CC5551</vt:lpstr>
      <vt:lpstr>PU_60B5CA90A9FC894EA470492890C9B48D</vt:lpstr>
      <vt:lpstr>PU_6243A67A163FD644B51392D24CFC5801</vt:lpstr>
      <vt:lpstr>PU_62EFAEB8660F1E4DA4FC9AC114B1A39A</vt:lpstr>
      <vt:lpstr>PU_650F5C1F3391F9489B23F2154D4E9DD2</vt:lpstr>
      <vt:lpstr>PU_65A2DE22CD8AC54D938D84CC0DD45F08</vt:lpstr>
      <vt:lpstr>PU_666563DC79E4C64AAA0C043620D3D7E1</vt:lpstr>
      <vt:lpstr>PU_695FFA905C9376408A1D1282EE1A5781</vt:lpstr>
      <vt:lpstr>PU_707372DD85BC944EB18C8A179463C4C5</vt:lpstr>
      <vt:lpstr>PU_758BC7E7DDD6D8408D282DE7AA0D6292</vt:lpstr>
      <vt:lpstr>PU_7657335925D3DB47846FF3FEA6A27CB1</vt:lpstr>
      <vt:lpstr>PU_789894BB61BA8D49A080301B1CDA601E</vt:lpstr>
      <vt:lpstr>PU_79441771764B8D478EF2A9D32F7B917A</vt:lpstr>
      <vt:lpstr>PU_7DC06580A1D0184E9F385C3C5CD7404E</vt:lpstr>
      <vt:lpstr>PU_7F3AF47719EDFF4A815413B23377E394</vt:lpstr>
      <vt:lpstr>PU_7F8D18958455BE498257112751BD136E</vt:lpstr>
      <vt:lpstr>PU_8164CDBB8883CA428BB6CEDC47ED92C1</vt:lpstr>
      <vt:lpstr>PU_81EF6DE6239F3148947BEF1D516AA7A6</vt:lpstr>
      <vt:lpstr>PU_82BA7F2F2BF2E5488A076FC25027E765</vt:lpstr>
      <vt:lpstr>PU_83E00C98B46C5840960D39BE0B93CA5F</vt:lpstr>
      <vt:lpstr>PU_8595969957196443B1464934A16A1A57</vt:lpstr>
      <vt:lpstr>PU_862B77479B25384F9F77E5B46B39EF89</vt:lpstr>
      <vt:lpstr>PU_89FB1987A84EF948A1803FAB2370102A</vt:lpstr>
      <vt:lpstr>PU_8A77B69BADFF41488631F5DB1BA13B54</vt:lpstr>
      <vt:lpstr>PU_8CC372887E837F49A827FD1131437708</vt:lpstr>
      <vt:lpstr>PU_937AA782D759B6498A1F8E8041956E9C</vt:lpstr>
      <vt:lpstr>PU_948645338E73E64EB3C90C8F090FE63E</vt:lpstr>
      <vt:lpstr>PU_94990FEDF2AD6A429B1DA6A29DA70FFA</vt:lpstr>
      <vt:lpstr>PU_971ED7F55BCBAE4CBC4935820474DD68</vt:lpstr>
      <vt:lpstr>PU_9B7A640DF8D4DB4C8E18E0635243A9D7</vt:lpstr>
      <vt:lpstr>PU_A8C6B9AEB5C93247AFD3A8AE0BBDB36C</vt:lpstr>
      <vt:lpstr>PU_A8FCDBD5CFEAFA4F9734154E37FB6391</vt:lpstr>
      <vt:lpstr>PU_ADF2995D0A121F4FA9964E4F19E4E4B5</vt:lpstr>
      <vt:lpstr>PU_AFF1C8B8B19A1448A9E967C3EAFE0253</vt:lpstr>
      <vt:lpstr>PU_B3695545C320F84A8BB1A8E102D8BCD1</vt:lpstr>
      <vt:lpstr>PU_B5391CA31166ED448AF321F55A8E13ED</vt:lpstr>
      <vt:lpstr>PU_B88B5034B2C5EE4591380B6DD20CB1DF</vt:lpstr>
      <vt:lpstr>PU_BCD62E7B50914D4D8B2A3CAF3BD0D866</vt:lpstr>
      <vt:lpstr>PU_BF10F927125E17418C6A8BD0BEF12E30</vt:lpstr>
      <vt:lpstr>PU_C1C97AB1BE4F4C4092696F3E3B87C07C</vt:lpstr>
      <vt:lpstr>PU_C29C14647EA7F24099D3D08CD03AD193</vt:lpstr>
      <vt:lpstr>PU_C6A293681DB4A143B216C150BBE73A24</vt:lpstr>
      <vt:lpstr>PU_CA96FCA66BAE9248B17892AE63EB9DEF</vt:lpstr>
      <vt:lpstr>PU_CC8A04E50A2DC640961B82D224700CE5</vt:lpstr>
      <vt:lpstr>PU_D4968B6089541F44BF61681BF12EB86E</vt:lpstr>
      <vt:lpstr>PU_DBF36E3C3AA4AD49B7185C16CFE850C2</vt:lpstr>
      <vt:lpstr>PU_E4BC96CDFF07084D818E996D9BC528E4</vt:lpstr>
      <vt:lpstr>PU_E4DE771186151E4BBB68DB4BB36BB53F</vt:lpstr>
      <vt:lpstr>PU_E7F41FE139056D49A1AB3B8BD5870994</vt:lpstr>
      <vt:lpstr>PU_E84FB55985F080499E020DCD8A1EA693</vt:lpstr>
      <vt:lpstr>PU_EC7EB30037C8FA439A28D58D1399C970</vt:lpstr>
      <vt:lpstr>PU_EC9A749DBCA44544834F0ADA608BC96A</vt:lpstr>
      <vt:lpstr>PU_EF128B28B17DA149B3DD8E45C676C081</vt:lpstr>
      <vt:lpstr>PU_F29C705FF768834983086FDCF6A6AA53</vt:lpstr>
      <vt:lpstr>PU_F74ED06EB9C57A48B7E883A3BD524B62</vt:lpstr>
      <vt:lpstr>PU_F9E72DB6DE14244CB1731CA06B3E44E5</vt:lpstr>
      <vt:lpstr>PU_FFF842A5D476E147A46759B985A7D837</vt:lpstr>
      <vt:lpstr>QTE_002C3F5FF7C3E240B1C1208270C61B9D</vt:lpstr>
      <vt:lpstr>QTE_0042D5ABF2FD704CA018F7F2E851E7A5</vt:lpstr>
      <vt:lpstr>QTE_004F9DC109DBD6408D975C6C0EC4FD0C</vt:lpstr>
      <vt:lpstr>QTE_087C7EE507252E4F8BD45A8806FDED9A</vt:lpstr>
      <vt:lpstr>QTE_0881825AEDD5DD47864E6C799648FF37</vt:lpstr>
      <vt:lpstr>QTE_0B16F0AB18DA4E4E9990DDF956444384</vt:lpstr>
      <vt:lpstr>QTE_0CC4199427A2E2469152257A82CC2DAC</vt:lpstr>
      <vt:lpstr>QTE_124472292ABC0E4FA14BE8C43AF1A6E1</vt:lpstr>
      <vt:lpstr>QTE_124F9B3DB0E8584389CE99067F584836</vt:lpstr>
      <vt:lpstr>QTE_1852A9D179075F4989A7EC907612824D</vt:lpstr>
      <vt:lpstr>QTE_1A753459AEA5BA438F656D9CBE9BC3D1</vt:lpstr>
      <vt:lpstr>QTE_1C43AB326C8E8548BCDCCB5C36A3D726</vt:lpstr>
      <vt:lpstr>QTE_200CB7CB860ADC4E8BD4C74E78E0E9B5</vt:lpstr>
      <vt:lpstr>QTE_23E5DC04DA5E8545A0C140F3446B53D7</vt:lpstr>
      <vt:lpstr>QTE_248E33850274454BB5987D07C901C088</vt:lpstr>
      <vt:lpstr>QTE_29466FD90C9918439FCE9574D2F07872</vt:lpstr>
      <vt:lpstr>QTE_2A2AC132464ABF41BAED11951A86E23C</vt:lpstr>
      <vt:lpstr>QTE_2CA4867206C9074A980DB5CC1B68E096</vt:lpstr>
      <vt:lpstr>QTE_2E1C084FFABB8C41BD373B70019C076E</vt:lpstr>
      <vt:lpstr>QTE_2FB78EC8FD38464A801032590A64E7EB</vt:lpstr>
      <vt:lpstr>QTE_322535B1B13A8347AF6193E656A4D41A</vt:lpstr>
      <vt:lpstr>QTE_3673F106327FF1488243E6A7EE2CF665</vt:lpstr>
      <vt:lpstr>QTE_36748D7FA4E82C47AB34DAA2AE47B567</vt:lpstr>
      <vt:lpstr>QTE_3B864E1442380140BAFBBC2682C26468</vt:lpstr>
      <vt:lpstr>QTE_42B7833FF03A5841AEC778CF2677A481</vt:lpstr>
      <vt:lpstr>QTE_434153E06F4CE346A339B7D70E1BCD36</vt:lpstr>
      <vt:lpstr>QTE_4486F64D97665948ABC256303FD5BC72</vt:lpstr>
      <vt:lpstr>QTE_4565B0D237DA2F489A23C92D6ABD9137</vt:lpstr>
      <vt:lpstr>QTE_46E6A676ED2D6344B20356E0D87A14B1</vt:lpstr>
      <vt:lpstr>QTE_482BD897C9E1214ABAC390FD587DE4FF</vt:lpstr>
      <vt:lpstr>QTE_49C7A8D3A1A54740A2D6065EAC023169</vt:lpstr>
      <vt:lpstr>QTE_4B283B0939D7094A82FD203080325F47</vt:lpstr>
      <vt:lpstr>QTE_4EFA71F5CF773E4F9634CB2CDD38ED32</vt:lpstr>
      <vt:lpstr>QTE_5169D268BEBF504B95890BA1AE707FBB</vt:lpstr>
      <vt:lpstr>QTE_56E60BC1A721A441AE6A389E380010C9</vt:lpstr>
      <vt:lpstr>QTE_5703458808556F4296B8657815E04060</vt:lpstr>
      <vt:lpstr>QTE_576FFE175D828342ACEB91F792CC5551</vt:lpstr>
      <vt:lpstr>QTE_60B5CA90A9FC894EA470492890C9B48D</vt:lpstr>
      <vt:lpstr>QTE_6243A67A163FD644B51392D24CFC5801</vt:lpstr>
      <vt:lpstr>QTE_62EFAEB8660F1E4DA4FC9AC114B1A39A</vt:lpstr>
      <vt:lpstr>QTE_650F5C1F3391F9489B23F2154D4E9DD2</vt:lpstr>
      <vt:lpstr>QTE_65A2DE22CD8AC54D938D84CC0DD45F08</vt:lpstr>
      <vt:lpstr>QTE_666563DC79E4C64AAA0C043620D3D7E1</vt:lpstr>
      <vt:lpstr>QTE_695FFA905C9376408A1D1282EE1A5781</vt:lpstr>
      <vt:lpstr>QTE_707372DD85BC944EB18C8A179463C4C5</vt:lpstr>
      <vt:lpstr>QTE_758BC7E7DDD6D8408D282DE7AA0D6292</vt:lpstr>
      <vt:lpstr>QTE_7657335925D3DB47846FF3FEA6A27CB1</vt:lpstr>
      <vt:lpstr>QTE_789894BB61BA8D49A080301B1CDA601E</vt:lpstr>
      <vt:lpstr>QTE_79441771764B8D478EF2A9D32F7B917A</vt:lpstr>
      <vt:lpstr>QTE_7DC06580A1D0184E9F385C3C5CD7404E</vt:lpstr>
      <vt:lpstr>QTE_7F3AF47719EDFF4A815413B23377E394</vt:lpstr>
      <vt:lpstr>QTE_7F8D18958455BE498257112751BD136E</vt:lpstr>
      <vt:lpstr>QTE_8164CDBB8883CA428BB6CEDC47ED92C1</vt:lpstr>
      <vt:lpstr>QTE_81EF6DE6239F3148947BEF1D516AA7A6</vt:lpstr>
      <vt:lpstr>QTE_82BA7F2F2BF2E5488A076FC25027E765</vt:lpstr>
      <vt:lpstr>QTE_83E00C98B46C5840960D39BE0B93CA5F</vt:lpstr>
      <vt:lpstr>QTE_8595969957196443B1464934A16A1A57</vt:lpstr>
      <vt:lpstr>QTE_862B77479B25384F9F77E5B46B39EF89</vt:lpstr>
      <vt:lpstr>QTE_89FB1987A84EF948A1803FAB2370102A</vt:lpstr>
      <vt:lpstr>QTE_8A77B69BADFF41488631F5DB1BA13B54</vt:lpstr>
      <vt:lpstr>QTE_8CC372887E837F49A827FD1131437708</vt:lpstr>
      <vt:lpstr>QTE_937AA782D759B6498A1F8E8041956E9C</vt:lpstr>
      <vt:lpstr>QTE_948645338E73E64EB3C90C8F090FE63E</vt:lpstr>
      <vt:lpstr>QTE_94990FEDF2AD6A429B1DA6A29DA70FFA</vt:lpstr>
      <vt:lpstr>QTE_971ED7F55BCBAE4CBC4935820474DD68</vt:lpstr>
      <vt:lpstr>QTE_9B7A640DF8D4DB4C8E18E0635243A9D7</vt:lpstr>
      <vt:lpstr>QTE_A8C6B9AEB5C93247AFD3A8AE0BBDB36C</vt:lpstr>
      <vt:lpstr>QTE_A8FCDBD5CFEAFA4F9734154E37FB6391</vt:lpstr>
      <vt:lpstr>QTE_ADF2995D0A121F4FA9964E4F19E4E4B5</vt:lpstr>
      <vt:lpstr>QTE_AFF1C8B8B19A1448A9E967C3EAFE0253</vt:lpstr>
      <vt:lpstr>QTE_B3695545C320F84A8BB1A8E102D8BCD1</vt:lpstr>
      <vt:lpstr>QTE_B5391CA31166ED448AF321F55A8E13ED</vt:lpstr>
      <vt:lpstr>QTE_B88B5034B2C5EE4591380B6DD20CB1DF</vt:lpstr>
      <vt:lpstr>QTE_BCD62E7B50914D4D8B2A3CAF3BD0D866</vt:lpstr>
      <vt:lpstr>QTE_BF10F927125E17418C6A8BD0BEF12E30</vt:lpstr>
      <vt:lpstr>QTE_C1C97AB1BE4F4C4092696F3E3B87C07C</vt:lpstr>
      <vt:lpstr>QTE_C29C14647EA7F24099D3D08CD03AD193</vt:lpstr>
      <vt:lpstr>QTE_C6A293681DB4A143B216C150BBE73A24</vt:lpstr>
      <vt:lpstr>QTE_CA96FCA66BAE9248B17892AE63EB9DEF</vt:lpstr>
      <vt:lpstr>QTE_CC8A04E50A2DC640961B82D224700CE5</vt:lpstr>
      <vt:lpstr>QTE_D4968B6089541F44BF61681BF12EB86E</vt:lpstr>
      <vt:lpstr>QTE_DBF36E3C3AA4AD49B7185C16CFE850C2</vt:lpstr>
      <vt:lpstr>QTE_E4BC96CDFF07084D818E996D9BC528E4</vt:lpstr>
      <vt:lpstr>QTE_E4DE771186151E4BBB68DB4BB36BB53F</vt:lpstr>
      <vt:lpstr>QTE_E7F41FE139056D49A1AB3B8BD5870994</vt:lpstr>
      <vt:lpstr>QTE_E84FB55985F080499E020DCD8A1EA693</vt:lpstr>
      <vt:lpstr>QTE_EC7EB30037C8FA439A28D58D1399C970</vt:lpstr>
      <vt:lpstr>QTE_EC9A749DBCA44544834F0ADA608BC96A</vt:lpstr>
      <vt:lpstr>QTE_EF128B28B17DA149B3DD8E45C676C081</vt:lpstr>
      <vt:lpstr>QTE_F29C705FF768834983086FDCF6A6AA53</vt:lpstr>
      <vt:lpstr>QTE_F74ED06EB9C57A48B7E883A3BD524B62</vt:lpstr>
      <vt:lpstr>QTE_F9E72DB6DE14244CB1731CA06B3E44E5</vt:lpstr>
      <vt:lpstr>QTE_FFF842A5D476E147A46759B985A7D837</vt:lpstr>
      <vt:lpstr>UNITE_002C3F5FF7C3E240B1C1208270C61B9D</vt:lpstr>
      <vt:lpstr>UNITE_0042D5ABF2FD704CA018F7F2E851E7A5</vt:lpstr>
      <vt:lpstr>UNITE_004F9DC109DBD6408D975C6C0EC4FD0C</vt:lpstr>
      <vt:lpstr>UNITE_087C7EE507252E4F8BD45A8806FDED9A</vt:lpstr>
      <vt:lpstr>UNITE_0881825AEDD5DD47864E6C799648FF37</vt:lpstr>
      <vt:lpstr>UNITE_0B16F0AB18DA4E4E9990DDF956444384</vt:lpstr>
      <vt:lpstr>UNITE_0CC4199427A2E2469152257A82CC2DAC</vt:lpstr>
      <vt:lpstr>UNITE_124472292ABC0E4FA14BE8C43AF1A6E1</vt:lpstr>
      <vt:lpstr>UNITE_124F9B3DB0E8584389CE99067F584836</vt:lpstr>
      <vt:lpstr>UNITE_1852A9D179075F4989A7EC907612824D</vt:lpstr>
      <vt:lpstr>UNITE_1A753459AEA5BA438F656D9CBE9BC3D1</vt:lpstr>
      <vt:lpstr>UNITE_1C43AB326C8E8548BCDCCB5C36A3D726</vt:lpstr>
      <vt:lpstr>UNITE_200CB7CB860ADC4E8BD4C74E78E0E9B5</vt:lpstr>
      <vt:lpstr>UNITE_23E5DC04DA5E8545A0C140F3446B53D7</vt:lpstr>
      <vt:lpstr>UNITE_248E33850274454BB5987D07C901C088</vt:lpstr>
      <vt:lpstr>UNITE_29466FD90C9918439FCE9574D2F07872</vt:lpstr>
      <vt:lpstr>UNITE_2A2AC132464ABF41BAED11951A86E23C</vt:lpstr>
      <vt:lpstr>UNITE_2CA4867206C9074A980DB5CC1B68E096</vt:lpstr>
      <vt:lpstr>UNITE_2E1C084FFABB8C41BD373B70019C076E</vt:lpstr>
      <vt:lpstr>UNITE_2FB78EC8FD38464A801032590A64E7EB</vt:lpstr>
      <vt:lpstr>UNITE_322535B1B13A8347AF6193E656A4D41A</vt:lpstr>
      <vt:lpstr>UNITE_3673F106327FF1488243E6A7EE2CF665</vt:lpstr>
      <vt:lpstr>UNITE_36748D7FA4E82C47AB34DAA2AE47B567</vt:lpstr>
      <vt:lpstr>UNITE_3B864E1442380140BAFBBC2682C26468</vt:lpstr>
      <vt:lpstr>UNITE_42B7833FF03A5841AEC778CF2677A481</vt:lpstr>
      <vt:lpstr>UNITE_434153E06F4CE346A339B7D70E1BCD36</vt:lpstr>
      <vt:lpstr>UNITE_4486F64D97665948ABC256303FD5BC72</vt:lpstr>
      <vt:lpstr>UNITE_4565B0D237DA2F489A23C92D6ABD9137</vt:lpstr>
      <vt:lpstr>UNITE_46E6A676ED2D6344B20356E0D87A14B1</vt:lpstr>
      <vt:lpstr>UNITE_482BD897C9E1214ABAC390FD587DE4FF</vt:lpstr>
      <vt:lpstr>UNITE_49C7A8D3A1A54740A2D6065EAC023169</vt:lpstr>
      <vt:lpstr>UNITE_4B283B0939D7094A82FD203080325F47</vt:lpstr>
      <vt:lpstr>UNITE_4EFA71F5CF773E4F9634CB2CDD38ED32</vt:lpstr>
      <vt:lpstr>UNITE_5169D268BEBF504B95890BA1AE707FBB</vt:lpstr>
      <vt:lpstr>UNITE_56E60BC1A721A441AE6A389E380010C9</vt:lpstr>
      <vt:lpstr>UNITE_5703458808556F4296B8657815E04060</vt:lpstr>
      <vt:lpstr>UNITE_576FFE175D828342ACEB91F792CC5551</vt:lpstr>
      <vt:lpstr>UNITE_60B5CA90A9FC894EA470492890C9B48D</vt:lpstr>
      <vt:lpstr>UNITE_6243A67A163FD644B51392D24CFC5801</vt:lpstr>
      <vt:lpstr>UNITE_62EFAEB8660F1E4DA4FC9AC114B1A39A</vt:lpstr>
      <vt:lpstr>UNITE_650F5C1F3391F9489B23F2154D4E9DD2</vt:lpstr>
      <vt:lpstr>UNITE_65A2DE22CD8AC54D938D84CC0DD45F08</vt:lpstr>
      <vt:lpstr>UNITE_666563DC79E4C64AAA0C043620D3D7E1</vt:lpstr>
      <vt:lpstr>UNITE_695FFA905C9376408A1D1282EE1A5781</vt:lpstr>
      <vt:lpstr>UNITE_707372DD85BC944EB18C8A179463C4C5</vt:lpstr>
      <vt:lpstr>UNITE_758BC7E7DDD6D8408D282DE7AA0D6292</vt:lpstr>
      <vt:lpstr>UNITE_7657335925D3DB47846FF3FEA6A27CB1</vt:lpstr>
      <vt:lpstr>UNITE_789894BB61BA8D49A080301B1CDA601E</vt:lpstr>
      <vt:lpstr>UNITE_79441771764B8D478EF2A9D32F7B917A</vt:lpstr>
      <vt:lpstr>UNITE_7DC06580A1D0184E9F385C3C5CD7404E</vt:lpstr>
      <vt:lpstr>UNITE_7F3AF47719EDFF4A815413B23377E394</vt:lpstr>
      <vt:lpstr>UNITE_7F8D18958455BE498257112751BD136E</vt:lpstr>
      <vt:lpstr>UNITE_8164CDBB8883CA428BB6CEDC47ED92C1</vt:lpstr>
      <vt:lpstr>UNITE_81EF6DE6239F3148947BEF1D516AA7A6</vt:lpstr>
      <vt:lpstr>UNITE_82BA7F2F2BF2E5488A076FC25027E765</vt:lpstr>
      <vt:lpstr>UNITE_83E00C98B46C5840960D39BE0B93CA5F</vt:lpstr>
      <vt:lpstr>UNITE_8595969957196443B1464934A16A1A57</vt:lpstr>
      <vt:lpstr>UNITE_862B77479B25384F9F77E5B46B39EF89</vt:lpstr>
      <vt:lpstr>UNITE_89FB1987A84EF948A1803FAB2370102A</vt:lpstr>
      <vt:lpstr>UNITE_8A77B69BADFF41488631F5DB1BA13B54</vt:lpstr>
      <vt:lpstr>UNITE_8CC372887E837F49A827FD1131437708</vt:lpstr>
      <vt:lpstr>UNITE_937AA782D759B6498A1F8E8041956E9C</vt:lpstr>
      <vt:lpstr>UNITE_948645338E73E64EB3C90C8F090FE63E</vt:lpstr>
      <vt:lpstr>UNITE_94990FEDF2AD6A429B1DA6A29DA70FFA</vt:lpstr>
      <vt:lpstr>UNITE_971ED7F55BCBAE4CBC4935820474DD68</vt:lpstr>
      <vt:lpstr>UNITE_9B7A640DF8D4DB4C8E18E0635243A9D7</vt:lpstr>
      <vt:lpstr>UNITE_A8C6B9AEB5C93247AFD3A8AE0BBDB36C</vt:lpstr>
      <vt:lpstr>UNITE_A8FCDBD5CFEAFA4F9734154E37FB6391</vt:lpstr>
      <vt:lpstr>UNITE_ADF2995D0A121F4FA9964E4F19E4E4B5</vt:lpstr>
      <vt:lpstr>UNITE_AFF1C8B8B19A1448A9E967C3EAFE0253</vt:lpstr>
      <vt:lpstr>UNITE_B3695545C320F84A8BB1A8E102D8BCD1</vt:lpstr>
      <vt:lpstr>UNITE_B5391CA31166ED448AF321F55A8E13ED</vt:lpstr>
      <vt:lpstr>UNITE_B88B5034B2C5EE4591380B6DD20CB1DF</vt:lpstr>
      <vt:lpstr>UNITE_BCD62E7B50914D4D8B2A3CAF3BD0D866</vt:lpstr>
      <vt:lpstr>UNITE_BF10F927125E17418C6A8BD0BEF12E30</vt:lpstr>
      <vt:lpstr>UNITE_C1C97AB1BE4F4C4092696F3E3B87C07C</vt:lpstr>
      <vt:lpstr>UNITE_C29C14647EA7F24099D3D08CD03AD193</vt:lpstr>
      <vt:lpstr>UNITE_C6A293681DB4A143B216C150BBE73A24</vt:lpstr>
      <vt:lpstr>UNITE_CA96FCA66BAE9248B17892AE63EB9DEF</vt:lpstr>
      <vt:lpstr>UNITE_CC8A04E50A2DC640961B82D224700CE5</vt:lpstr>
      <vt:lpstr>UNITE_D4968B6089541F44BF61681BF12EB86E</vt:lpstr>
      <vt:lpstr>UNITE_DBF36E3C3AA4AD49B7185C16CFE850C2</vt:lpstr>
      <vt:lpstr>UNITE_E4BC96CDFF07084D818E996D9BC528E4</vt:lpstr>
      <vt:lpstr>UNITE_E4DE771186151E4BBB68DB4BB36BB53F</vt:lpstr>
      <vt:lpstr>UNITE_E7F41FE139056D49A1AB3B8BD5870994</vt:lpstr>
      <vt:lpstr>UNITE_E84FB55985F080499E020DCD8A1EA693</vt:lpstr>
      <vt:lpstr>UNITE_EC7EB30037C8FA439A28D58D1399C970</vt:lpstr>
      <vt:lpstr>UNITE_EC9A749DBCA44544834F0ADA608BC96A</vt:lpstr>
      <vt:lpstr>UNITE_EF128B28B17DA149B3DD8E45C676C081</vt:lpstr>
      <vt:lpstr>UNITE_F29C705FF768834983086FDCF6A6AA53</vt:lpstr>
      <vt:lpstr>UNITE_F74ED06EB9C57A48B7E883A3BD524B62</vt:lpstr>
      <vt:lpstr>UNITE_F9E72DB6DE14244CB1731CA06B3E44E5</vt:lpstr>
      <vt:lpstr>UNITE_FFF842A5D476E147A46759B985A7D837</vt:lpstr>
      <vt:lpstr>DPGF!Zone_d_impression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User</dc:creator>
  <cp:lastModifiedBy>office2</cp:lastModifiedBy>
  <cp:lastPrinted>2025-11-24T09:07:13Z</cp:lastPrinted>
  <dcterms:created xsi:type="dcterms:W3CDTF">2003-01-30T16:06:50Z</dcterms:created>
  <dcterms:modified xsi:type="dcterms:W3CDTF">2025-11-24T09:16:08Z</dcterms:modified>
</cp:coreProperties>
</file>